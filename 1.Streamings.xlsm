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:\Meu Drive\GitHub\Reposit-rio-oficial-da-Vybbe-Habbla\"/>
    </mc:Choice>
  </mc:AlternateContent>
  <xr:revisionPtr revIDLastSave="0" documentId="13_ncr:1_{B216CAC1-D09C-4FD9-AF58-BA9FE3AEFDFA}" xr6:coauthVersionLast="47" xr6:coauthVersionMax="47" xr10:uidLastSave="{00000000-0000-0000-0000-000000000000}"/>
  <bookViews>
    <workbookView showSheetTabs="0" xWindow="-120" yWindow="-120" windowWidth="20730" windowHeight="11160" tabRatio="955" firstSheet="15" activeTab="23" xr2:uid="{B28F077D-F895-4EA9-A42C-A183DA67F102}"/>
  </bookViews>
  <sheets>
    <sheet name="Brasil - Top Songs Daily" sheetId="2" r:id="rId1"/>
    <sheet name="Brasil - Top Artists Daily" sheetId="4" r:id="rId2"/>
    <sheet name="Brasil - Top Viral Daily" sheetId="5" r:id="rId3"/>
    <sheet name="Global - Top Songs Daily" sheetId="7" r:id="rId4"/>
    <sheet name="Global - Top Artists Daily" sheetId="8" r:id="rId5"/>
    <sheet name="Global - Top Viral Daily" sheetId="9" r:id="rId6"/>
    <sheet name="Global - Top Songs Weekly" sheetId="10" r:id="rId7"/>
    <sheet name="Global - Top Artists Weekly" sheetId="11" r:id="rId8"/>
    <sheet name="Global - Top Album Weekly" sheetId="12" r:id="rId9"/>
    <sheet name="Brasil - Top Songs Weekly" sheetId="13" r:id="rId10"/>
    <sheet name="Brasil - Top Artists Weekly" sheetId="14" r:id="rId11"/>
    <sheet name="Brasil - Top Albums Weekly" sheetId="15" r:id="rId12"/>
    <sheet name="Deezer" sheetId="19" r:id="rId13"/>
    <sheet name="Tabela_Deezer" sheetId="24" r:id="rId14"/>
    <sheet name="Apple" sheetId="25" r:id="rId15"/>
    <sheet name="Tabela_Apple" sheetId="23" r:id="rId16"/>
    <sheet name="Amazon" sheetId="20" r:id="rId17"/>
    <sheet name="Tabela_Amazon" sheetId="22" r:id="rId18"/>
    <sheet name="Youtube - Daily Videos" sheetId="16" r:id="rId19"/>
    <sheet name="Youtube - Daily Shorts" sheetId="27" r:id="rId20"/>
    <sheet name="Youtube - Weekly Artists" sheetId="18" r:id="rId21"/>
    <sheet name="Youtube - Weekly Music" sheetId="17" r:id="rId22"/>
    <sheet name="Tabela" sheetId="3" r:id="rId23"/>
    <sheet name="Painel" sheetId="1" r:id="rId24"/>
  </sheets>
  <externalReferences>
    <externalReference r:id="rId25"/>
    <externalReference r:id="rId26"/>
    <externalReference r:id="rId27"/>
  </externalReferences>
  <definedNames>
    <definedName name="_xlnm._FilterDatabase" localSheetId="22" hidden="1">Tabela!$B$2:$D$52</definedName>
    <definedName name="DadosExternos_1" localSheetId="16" hidden="1">Amazon!$A$1:$H$462</definedName>
    <definedName name="DadosExternos_1" localSheetId="11" hidden="1">'Brasil - Top Albums Weekly'!$A$1:$H$201</definedName>
    <definedName name="DadosExternos_1" localSheetId="1" hidden="1">'Brasil - Top Artists Daily'!$A$1:$F$201</definedName>
    <definedName name="DadosExternos_1" localSheetId="10" hidden="1">'Brasil - Top Artists Weekly'!$A$1:$F$201</definedName>
    <definedName name="DadosExternos_1" localSheetId="0" hidden="1">'Brasil - Top Songs Daily'!$A$1:$I$201</definedName>
    <definedName name="DadosExternos_1" localSheetId="9" hidden="1">'Brasil - Top Songs Weekly'!$A$1:$I$201</definedName>
    <definedName name="DadosExternos_1" localSheetId="2" hidden="1">'Brasil - Top Viral Daily'!$A$1:$H$101</definedName>
    <definedName name="DadosExternos_1" localSheetId="12" hidden="1">Deezer!$A$1:$I$101</definedName>
    <definedName name="DadosExternos_1" localSheetId="4" hidden="1">'Global - Top Artists Daily'!$A$1:$F$201</definedName>
    <definedName name="DadosExternos_1" localSheetId="7" hidden="1">'Global - Top Artists Weekly'!$A$1:$F$201</definedName>
    <definedName name="DadosExternos_1" localSheetId="3" hidden="1">'Global - Top Songs Daily'!$A$1:$I$201</definedName>
    <definedName name="DadosExternos_1" localSheetId="6" hidden="1">'Global - Top Songs Weekly'!$A$1:$I$201</definedName>
    <definedName name="DadosExternos_1" localSheetId="5" hidden="1">'Global - Top Viral Daily'!$A$1:$H$101</definedName>
    <definedName name="DadosExternos_1" localSheetId="18" hidden="1">'Youtube - Daily Videos'!$A$1:$G$101</definedName>
    <definedName name="DadosExternos_1" localSheetId="20" hidden="1">'Youtube - Weekly Artists'!$A$1:$H$101</definedName>
    <definedName name="DadosExternos_1" localSheetId="21" hidden="1">'Youtube - Weekly Music'!$A$1:$I$101</definedName>
    <definedName name="DadosExternos_2" localSheetId="8" hidden="1">'Global - Top Album Weekly'!$A$1:$H$201</definedName>
    <definedName name="DadosExternos_2" localSheetId="17" hidden="1">Tabela_Amazon!$A$1:$K$5</definedName>
    <definedName name="DadosExternos_2" localSheetId="19" hidden="1">'Youtube - Daily Shorts'!$A$1:$G$51</definedName>
    <definedName name="DadosExternos_3" localSheetId="15" hidden="1">Tabela_Apple!$A$1:$J$5</definedName>
    <definedName name="DadosExternos_4" localSheetId="14" hidden="1">Apple!$A$1:$I$101</definedName>
    <definedName name="DadosExternos_4" localSheetId="13" hidden="1">Tabela_Deezer!$A$1:$J$8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25" l="1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2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E2" i="27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H2" i="27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H2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3AB81D-F914-4A54-9DC7-157984951707}" keepAlive="1" name="Consulta - Amazon" description="Conexão com a consulta 'Amazon' na pasta de trabalho." type="5" refreshedVersion="8" background="1" saveData="1">
    <dbPr connection="Provider=Microsoft.Mashup.OleDb.1;Data Source=$Workbook$;Location=Amazon;Extended Properties=&quot;&quot;" command="SELECT * FROM [Amazon]"/>
  </connection>
  <connection id="2" xr16:uid="{0DF7D9ED-24CE-4736-BB90-190CDB57E541}" keepAlive="1" name="Consulta - Apple" description="Conexão com a consulta 'Apple' na pasta de trabalho." type="5" refreshedVersion="8" background="1" saveData="1">
    <dbPr connection="Provider=Microsoft.Mashup.OleDb.1;Data Source=$Workbook$;Location=Apple;Extended Properties=&quot;&quot;" command="SELECT * FROM [Apple]"/>
  </connection>
  <connection id="3" xr16:uid="{F072D836-6B4A-444C-9858-F765F5263F48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4" xr16:uid="{628D6519-C3BF-40AD-8D68-52E93ADD05AB}" keepAlive="1" name="Consulta - Brasil - Top Albums Weekly" description="Conexão com a consulta 'Brasil - Top Albums Weekly' na pasta de trabalho." type="5" refreshedVersion="8" background="1" saveData="1">
    <dbPr connection="Provider=Microsoft.Mashup.OleDb.1;Data Source=$Workbook$;Location=&quot;Brasil - Top Albums Weekly&quot;;Extended Properties=&quot;&quot;" command="SELECT * FROM [Brasil - Top Albums Weekly]"/>
  </connection>
  <connection id="5" xr16:uid="{71AB44B4-5692-4DC0-BAF4-C340EF925172}" keepAlive="1" name="Consulta - Brasil - Top Artists Weekly" description="Conexão com a consulta 'Brasil - Top Artists Weekly' na pasta de trabalho." type="5" refreshedVersion="8" background="1" saveData="1">
    <dbPr connection="Provider=Microsoft.Mashup.OleDb.1;Data Source=$Workbook$;Location=&quot;Brasil - Top Artists Weekly&quot;;Extended Properties=&quot;&quot;" command="SELECT * FROM [Brasil - Top Artists Weekly]"/>
  </connection>
  <connection id="6" xr16:uid="{FB828D47-F747-4A0F-BA03-066A3A793934}" keepAlive="1" name="Consulta - Brasil - Top Songs Weekly" description="Conexão com a consulta 'Brasil - Top Songs Weekly' na pasta de trabalho." type="5" refreshedVersion="8" background="1" saveData="1">
    <dbPr connection="Provider=Microsoft.Mashup.OleDb.1;Data Source=$Workbook$;Location=&quot;Brasil - Top Songs Weekly&quot;;Extended Properties=&quot;&quot;" command="SELECT * FROM [Brasil - Top Songs Weekly]"/>
  </connection>
  <connection id="7" xr16:uid="{01304002-70F7-406D-A49A-78730D20FCAA}" keepAlive="1" name="Consulta - Daile_Top_Artists_Br" description="Conexão com a consulta 'Daile_Top_Artists_Br' na pasta de trabalho." type="5" refreshedVersion="8" background="1" saveData="1">
    <dbPr connection="Provider=Microsoft.Mashup.OleDb.1;Data Source=$Workbook$;Location=Daile_Top_Artists_Br;Extended Properties=&quot;&quot;" command="SELECT * FROM [Daile_Top_Artists_Br]"/>
  </connection>
  <connection id="8" xr16:uid="{B56146B2-85E6-4BF4-9623-560A2CA2EBF0}" keepAlive="1" name="Consulta - Daily_Top_Songs_Br" description="Conexão com a consulta 'Daily_Top_Songs_Br' na pasta de trabalho." type="5" refreshedVersion="8" background="1" saveData="1">
    <dbPr connection="Provider=Microsoft.Mashup.OleDb.1;Data Source=$Workbook$;Location=Daily_Top_Songs_Br;Extended Properties=&quot;&quot;" command="SELECT * FROM [Daily_Top_Songs_Br]"/>
  </connection>
  <connection id="9" xr16:uid="{59FB34E5-DA84-4170-87F3-BCFC037E273A}" keepAlive="1" name="Consulta - Daily_Top_Viral_Br" description="Conexão com a consulta 'Daily_Top_Viral_Br' na pasta de trabalho." type="5" refreshedVersion="8" background="1" saveData="1">
    <dbPr connection="Provider=Microsoft.Mashup.OleDb.1;Data Source=$Workbook$;Location=Daily_Top_Viral_Br;Extended Properties=&quot;&quot;" command="SELECT * FROM [Daily_Top_Viral_Br]"/>
  </connection>
  <connection id="10" xr16:uid="{E42D5ECA-492C-4C21-8550-049F48CB7CC5}" keepAlive="1" name="Consulta - Deezer" description="Conexão com a consulta 'Deezer' na pasta de trabalho." type="5" refreshedVersion="8" background="1" saveData="1">
    <dbPr connection="Provider=Microsoft.Mashup.OleDb.1;Data Source=$Workbook$;Location=Deezer;Extended Properties=&quot;&quot;" command="SELECT * FROM [Deezer]"/>
  </connection>
  <connection id="11" xr16:uid="{46A4A502-2DB7-4CA6-B5E6-8F6C585A12A1}" keepAlive="1" name="Consulta - Global - Top Album Weekly" description="Conexão com a consulta 'Global - Top Album Weekly' na pasta de trabalho." type="5" refreshedVersion="8" background="1" saveData="1">
    <dbPr connection="Provider=Microsoft.Mashup.OleDb.1;Data Source=$Workbook$;Location=&quot;Global - Top Album Weekly&quot;;Extended Properties=&quot;&quot;" command="SELECT * FROM [Global - Top Album Weekly]"/>
  </connection>
  <connection id="12" xr16:uid="{B479FA49-4067-4FF3-9158-E2A8213D1A63}" keepAlive="1" name="Consulta - Global - Top Artists Daily" description="Conexão com a consulta 'Global - Top Artists Daily' na pasta de trabalho." type="5" refreshedVersion="8" background="1" saveData="1">
    <dbPr connection="Provider=Microsoft.Mashup.OleDb.1;Data Source=$Workbook$;Location=&quot;Global - Top Artists Daily&quot;;Extended Properties=&quot;&quot;" command="SELECT * FROM [Global - Top Artists Daily]"/>
  </connection>
  <connection id="13" xr16:uid="{15104418-73BD-41C3-A726-2C198A811147}" keepAlive="1" name="Consulta - Global - Top Artists Weekly" description="Conexão com a consulta 'Global - Top Artists Weekly' na pasta de trabalho." type="5" refreshedVersion="8" background="1" saveData="1">
    <dbPr connection="Provider=Microsoft.Mashup.OleDb.1;Data Source=$Workbook$;Location=&quot;Global - Top Artists Weekly&quot;;Extended Properties=&quot;&quot;" command="SELECT * FROM [Global - Top Artists Weekly]"/>
  </connection>
  <connection id="14" xr16:uid="{15E23065-07FF-4EDB-96F2-FCBC1E7FD8C2}" keepAlive="1" name="Consulta - Global - Top Songs Daily" description="Conexão com a consulta 'Global - Top Songs Daily' na pasta de trabalho." type="5" refreshedVersion="8" background="1" saveData="1">
    <dbPr connection="Provider=Microsoft.Mashup.OleDb.1;Data Source=$Workbook$;Location=&quot;Global - Top Songs Daily&quot;;Extended Properties=&quot;&quot;" command="SELECT * FROM [Global - Top Songs Daily]"/>
  </connection>
  <connection id="15" xr16:uid="{C3EC34F4-4EB9-4384-B4DD-F47BCB9FDF14}" keepAlive="1" name="Consulta - Global - Top Songs Weekly" description="Conexão com a consulta 'Global - Top Songs Weekly' na pasta de trabalho." type="5" refreshedVersion="8" background="1" saveData="1">
    <dbPr connection="Provider=Microsoft.Mashup.OleDb.1;Data Source=$Workbook$;Location=&quot;Global - Top Songs Weekly&quot;;Extended Properties=&quot;&quot;" command="SELECT * FROM [Global - Top Songs Weekly]"/>
  </connection>
  <connection id="16" xr16:uid="{C87EDEAD-AD02-4258-B74F-7666BF00D372}" keepAlive="1" name="Consulta - Global - Top Viral Daily" description="Conexão com a consulta 'Global - Top Viral Daily' na pasta de trabalho." type="5" refreshedVersion="8" background="1" saveData="1">
    <dbPr connection="Provider=Microsoft.Mashup.OleDb.1;Data Source=$Workbook$;Location=&quot;Global - Top Viral Daily&quot;;Extended Properties=&quot;&quot;" command="SELECT * FROM [Global - Top Viral Daily]"/>
  </connection>
  <connection id="17" xr16:uid="{77456D6B-6F5B-434B-92E0-28DACC07537A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8" xr16:uid="{4654ECD9-54A4-41DA-A45B-54E62A372F81}" keepAlive="1" name="Consulta - Tabela_Amazon" description="Conexão com a consulta 'Tabela_Amazon' na pasta de trabalho." type="5" refreshedVersion="8" background="1" saveData="1">
    <dbPr connection="Provider=Microsoft.Mashup.OleDb.1;Data Source=$Workbook$;Location=Tabela_Amazon;Extended Properties=&quot;&quot;" command="SELECT * FROM [Tabela_Amazon]"/>
  </connection>
  <connection id="19" xr16:uid="{65A6551D-3725-4A28-A472-7F9DE9202B88}" keepAlive="1" name="Consulta - Tabela_Apple" description="Conexão com a consulta 'Tabela_Apple' na pasta de trabalho." type="5" refreshedVersion="8" background="1" saveData="1">
    <dbPr connection="Provider=Microsoft.Mashup.OleDb.1;Data Source=$Workbook$;Location=Tabela_Apple;Extended Properties=&quot;&quot;" command="SELECT * FROM [Tabela_Apple]"/>
  </connection>
  <connection id="20" xr16:uid="{929BBEAB-63FA-42C0-A2FD-8143D8456C6C}" keepAlive="1" name="Consulta - Tabela_Deezer" description="Conexão com a consulta 'Tabela_Deezer' na pasta de trabalho." type="5" refreshedVersion="8" background="1" saveData="1">
    <dbPr connection="Provider=Microsoft.Mashup.OleDb.1;Data Source=$Workbook$;Location=Tabela_Deezer;Extended Properties=&quot;&quot;" command="SELECT * FROM [Tabela_Deezer]"/>
  </connection>
  <connection id="21" xr16:uid="{214CB791-2224-4BC1-B143-65061179DB47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22" xr16:uid="{9332DFFA-C1AB-40FE-8661-A3701CF68272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23" xr16:uid="{3AD2D2A9-1B78-4A52-93C6-6DC26F314878}" keepAlive="1" name="Consulta - Youtube - Daily Videos" description="Conexão com a consulta 'Youtube - Daily Videos' na pasta de trabalho." type="5" refreshedVersion="8" background="1" saveData="1">
    <dbPr connection="Provider=Microsoft.Mashup.OleDb.1;Data Source=$Workbook$;Location=&quot;Youtube - Daily Videos&quot;;Extended Properties=&quot;&quot;" command="SELECT * FROM [Youtube - Daily Videos]"/>
  </connection>
  <connection id="24" xr16:uid="{AEE00A4F-4F1C-4488-90AE-B16548BE521F}" keepAlive="1" name="Consulta - youtube shorts" description="Conexão com a consulta 'youtube shorts' na pasta de trabalho." type="5" refreshedVersion="8" background="1" saveData="1">
    <dbPr connection="Provider=Microsoft.Mashup.OleDb.1;Data Source=$Workbook$;Location=&quot;youtube shorts&quot;;Extended Properties=&quot;&quot;" command="SELECT * FROM [youtube shorts]"/>
  </connection>
  <connection id="25" xr16:uid="{67B12C14-5568-4B05-8BC0-D0EA0E2AE3D7}" keepAlive="1" name="Consulta - Youtube_Artists_Weekly" description="Conexão com a consulta 'Youtube_Artists_Weekly' na pasta de trabalho." type="5" refreshedVersion="8" background="1" saveData="1">
    <dbPr connection="Provider=Microsoft.Mashup.OleDb.1;Data Source=$Workbook$;Location=Youtube_Artists_Weekly;Extended Properties=&quot;&quot;" command="SELECT * FROM [Youtube_Artists_Weekly]"/>
  </connection>
  <connection id="26" xr16:uid="{5372F933-62C3-42A0-A0F8-E945C1F90F77}" keepAlive="1" name="Consulta - Youtube_songs_Weekly" description="Conexão com a consulta 'Youtube_songs_Weekly' na pasta de trabalho." type="5" refreshedVersion="8" background="1" saveData="1">
    <dbPr connection="Provider=Microsoft.Mashup.OleDb.1;Data Source=$Workbook$;Location=Youtube_songs_Weekly;Extended Properties=&quot;&quot;" command="SELECT * FROM [Youtube_songs_Weekly]"/>
  </connection>
</connections>
</file>

<file path=xl/sharedStrings.xml><?xml version="1.0" encoding="utf-8"?>
<sst xmlns="http://schemas.openxmlformats.org/spreadsheetml/2006/main" count="11494" uniqueCount="5211">
  <si>
    <t>rank</t>
  </si>
  <si>
    <t>uri</t>
  </si>
  <si>
    <t>artist_names</t>
  </si>
  <si>
    <t>track_name</t>
  </si>
  <si>
    <t>source</t>
  </si>
  <si>
    <t>peak_rank</t>
  </si>
  <si>
    <t>previous_rank</t>
  </si>
  <si>
    <t>days_on_chart</t>
  </si>
  <si>
    <t>streams</t>
  </si>
  <si>
    <t>spotify:track:7EknynLJTt9YMm1HL37s5D</t>
  </si>
  <si>
    <t>Grupo Menos É Mais, Simone Mendes</t>
  </si>
  <si>
    <t>P do Pecado - Ao Vivo</t>
  </si>
  <si>
    <t>Som Livre</t>
  </si>
  <si>
    <t>spotify:track:5Nj2UVsxXAvhfYNpcre3al</t>
  </si>
  <si>
    <t>Dj Caio Vieira, MC Meno K, Mc Rodrigo do CN</t>
  </si>
  <si>
    <t>FAMOSINHA</t>
  </si>
  <si>
    <t>BR MUSIC DIREITOS MUSICAIS LTDA.</t>
  </si>
  <si>
    <t>spotify:track:2GylVVMD21R4SqgAt8gGC5</t>
  </si>
  <si>
    <t>Felipe Amorim, Vitão, BIN, Malibu</t>
  </si>
  <si>
    <t>Eu Vou na Sua Casa</t>
  </si>
  <si>
    <t>One Play</t>
  </si>
  <si>
    <t>spotify:track:0mg7xsgu0pzcWFwk6Ckwdx</t>
  </si>
  <si>
    <t>Diego &amp; Victor Hugo</t>
  </si>
  <si>
    <t>Tubarões - Ao Vivo</t>
  </si>
  <si>
    <t>Sony Music Entertainment</t>
  </si>
  <si>
    <t>spotify:track:2ejSYn4SfoE07mXPlnYVED</t>
  </si>
  <si>
    <t>Rafa e Junior, Hugo &amp; Guilherme, DJ Ari SL</t>
  </si>
  <si>
    <t>Ama Um Maloqueiro</t>
  </si>
  <si>
    <t>Rafa e Junior</t>
  </si>
  <si>
    <t>Felipe e Rodrigo</t>
  </si>
  <si>
    <t>Caos De Alguém - Ao Vivo</t>
  </si>
  <si>
    <t>Virgin Music Label And Artist Services (S&amp;D)</t>
  </si>
  <si>
    <t>spotify:track:6Kyl2nFgU0J8WBlbBvDv6g</t>
  </si>
  <si>
    <t>Grupo Menos É Mais</t>
  </si>
  <si>
    <t>Coração Partido (Corazón Partío) - Ao Vivo</t>
  </si>
  <si>
    <t>spotify:track:17tg01y3RhlfRKMnd333yL</t>
  </si>
  <si>
    <t>Danilo e Davi</t>
  </si>
  <si>
    <t>Apaga Apaga Apaga - Ao Vivo</t>
  </si>
  <si>
    <t>spotify:track:25CffgwZg6vlUdCsHJijZo</t>
  </si>
  <si>
    <t>Panda, Ícaro e Gilmar, MJ Records</t>
  </si>
  <si>
    <t>Baqueado - Ao Vivo</t>
  </si>
  <si>
    <t>MJ Records.</t>
  </si>
  <si>
    <t>spotify:track:4y93vvzu2h8MITw7YyUTcI</t>
  </si>
  <si>
    <t>Henrique &amp; Juliano</t>
  </si>
  <si>
    <t>Última Saudade - Ao Vivo</t>
  </si>
  <si>
    <t>spotify:track:0IBCX7PC9NcfFLuyoHxTNt</t>
  </si>
  <si>
    <t>Zé Neto &amp; Cristiano</t>
  </si>
  <si>
    <t>Escondendo o Ouro - Ao Vivo</t>
  </si>
  <si>
    <t>spotify:track:4W9nFl732s6NdToGaCfiSl</t>
  </si>
  <si>
    <t>Guilherme &amp; Benuto, Grupo Menos É Mais, Matheus Fernandes</t>
  </si>
  <si>
    <t>Grau de Maluca - Ao Vivo</t>
  </si>
  <si>
    <t>spotify:track:4EVIYtNeI4O8h0lmE0wycC</t>
  </si>
  <si>
    <t>Mc Pedrinho, Teko Bolado, Rizzi Get Busy, Tropa da W&amp;S</t>
  </si>
  <si>
    <t>Encosta na Parede</t>
  </si>
  <si>
    <t>WMD</t>
  </si>
  <si>
    <t>spotify:track:7tesyGMnAFNI0l2xaxcFKi</t>
  </si>
  <si>
    <t>Saudade De Quem Eu Sou - Ao Vivo</t>
  </si>
  <si>
    <t>spotify:track:7yRlmQTjZ5pdtlq7ska9mj</t>
  </si>
  <si>
    <t>Veigh, Supernova Ent</t>
  </si>
  <si>
    <t>Artista Genérico</t>
  </si>
  <si>
    <t>Supernova Entertainment</t>
  </si>
  <si>
    <t>spotify:track:1N19UVD4GRBFT6UrDaX6rk</t>
  </si>
  <si>
    <t>Turma do Pagode, Grupo Menos É Mais</t>
  </si>
  <si>
    <t>Bebe e Vem Me Procurar / Quem Ama Sente Saudade (Ao Vivo)</t>
  </si>
  <si>
    <t>spotify:track:44CTudFZ0kbaIF9n0jk7oU</t>
  </si>
  <si>
    <t>Matheus &amp; Kauan, Ana Castela</t>
  </si>
  <si>
    <t>Ilusão De Ótica - Ao Vivo</t>
  </si>
  <si>
    <t>Universal Music Ltda.</t>
  </si>
  <si>
    <t>spotify:track:40WZQRA3T6WZFIgskIAAz7</t>
  </si>
  <si>
    <t>Simone Mendes</t>
  </si>
  <si>
    <t>Saudade Proibida - Ao Vivo</t>
  </si>
  <si>
    <t>spotify:track:5dcOxj5o672WzZCc7OOUkX</t>
  </si>
  <si>
    <t>Felipe Amorim, Carol Biazin</t>
  </si>
  <si>
    <t>Amor Traumatizado</t>
  </si>
  <si>
    <t>spotify:track:2QUl20UtEsH85livMYnbQr</t>
  </si>
  <si>
    <t>Murilo Huff, Zé Neto &amp; Cristiano</t>
  </si>
  <si>
    <t>Veneno - Ao Vivo</t>
  </si>
  <si>
    <t>M Show</t>
  </si>
  <si>
    <t>spotify:track:0pGsxpkJC9IwK93fmqEYXn</t>
  </si>
  <si>
    <t>Aquele Lugar - Ao Vivo</t>
  </si>
  <si>
    <t>spotify:track:3M4HJl7D77l86gL1QXGJHG</t>
  </si>
  <si>
    <t>Lauana Prado, Simone Mendes</t>
  </si>
  <si>
    <t>Saudade Burra - Ao Vivo</t>
  </si>
  <si>
    <t>spotify:track:07kLShG3HTeLXTqnFCqNAJ</t>
  </si>
  <si>
    <t>Amigo Da Minha Saudade - Ao Vivo</t>
  </si>
  <si>
    <t>spotify:track:7GNbFvEP3uKNASe3oaLl8U</t>
  </si>
  <si>
    <t>Mc IG, MC Ryan SP, Mc Negão Original, DJ Japa NK, DJ DAVI DOGDOG, DU'L, MC GP, MC Meno K, Mc guizinho niazi, Nickz Beatz, SiarBeats</t>
  </si>
  <si>
    <t>Ta Rico Os Menino Do Gueto 🍀</t>
  </si>
  <si>
    <t>WM Brazil</t>
  </si>
  <si>
    <t>spotify:track:2j7IPPMZt5nE5R4r2AbKZ8</t>
  </si>
  <si>
    <t>Panda, Humberto &amp; Ronaldo, Ícaro e Gilmar, MJ Records</t>
  </si>
  <si>
    <t>12 Horas / Pra Você Acreditar - Ao Vivo</t>
  </si>
  <si>
    <t>spotify:track:4QZqSqxdcgAbtZle4MS4ph</t>
  </si>
  <si>
    <t>Gusttavo Lima</t>
  </si>
  <si>
    <t>Retrovisor</t>
  </si>
  <si>
    <t>spotify:track:3p58wJmZqIc9RjsdeZ5Jfq</t>
  </si>
  <si>
    <t>Mc Negão Original, MC Jvila, MC Willian, DJ Japa NK, MC Meno K, DJ Guh Mix</t>
  </si>
  <si>
    <t>Vou pela Madrugada</t>
  </si>
  <si>
    <t>Cria Hit BR</t>
  </si>
  <si>
    <t>spotify:track:3R8dmcSyROSR73XsdeSd7g</t>
  </si>
  <si>
    <t>Clayton &amp; Romário</t>
  </si>
  <si>
    <t>Opa Cadê Eu - Ao Vivo</t>
  </si>
  <si>
    <t>spotify:track:5QbtKOsjbEGkx0GMiQGBZt</t>
  </si>
  <si>
    <t>fhop music, Hamilton Rabelo</t>
  </si>
  <si>
    <t>Tu és + Águas Purificadoras - Ao Vivo</t>
  </si>
  <si>
    <t>FHOP Music</t>
  </si>
  <si>
    <t>spotify:track:2RkZ5LkEzeHGRsmDqKwmaJ</t>
  </si>
  <si>
    <t>Alex Warren</t>
  </si>
  <si>
    <t>Ordinary</t>
  </si>
  <si>
    <t>Atlantic Records</t>
  </si>
  <si>
    <t>Diego &amp; Arnaldo, Zé Neto &amp; Cristiano</t>
  </si>
  <si>
    <t>Vai Cair Água - Ao Vivo</t>
  </si>
  <si>
    <t>spotify:track:5k7JSycp97vL45zSOoUsTE</t>
  </si>
  <si>
    <t>Seja Ex - Ao Vivo</t>
  </si>
  <si>
    <t>spotify:track:1jxQFCC0ukN7AaUwXWK0N8</t>
  </si>
  <si>
    <t>DJ Biel Divulga, DJ Dozabri, Mc Lekão</t>
  </si>
  <si>
    <t>Tipo Nino Vs Kabrinha</t>
  </si>
  <si>
    <t>Mandela Music</t>
  </si>
  <si>
    <t>spotify:track:2TSYxcrcrtLpdbsLY9NmzL</t>
  </si>
  <si>
    <t>Me Ama Ou Me Larga - Ao Vivo</t>
  </si>
  <si>
    <t>spotify:track:708yXS1fLm1gAXFyIQxtX2</t>
  </si>
  <si>
    <t>Romântico - Ao Vivo</t>
  </si>
  <si>
    <t>Kaique e Felipe, Luan Pereira</t>
  </si>
  <si>
    <t>Vacilona - Ao Vivo</t>
  </si>
  <si>
    <t>spotify:track:3vpmGewnBcIfbm252E3Xx8</t>
  </si>
  <si>
    <t>Luccas &amp; Rodrigo, Vitor e Luan</t>
  </si>
  <si>
    <t>Cara da Serenata - Live</t>
  </si>
  <si>
    <t>L &amp; R PRODUÇÕES</t>
  </si>
  <si>
    <t>spotify:track:1h0yBDChztCJRTqmI5U6ou</t>
  </si>
  <si>
    <t>MORADA</t>
  </si>
  <si>
    <t>É Tudo Sobre Você / Ser Mudado - Ao Vivo</t>
  </si>
  <si>
    <t>Onimusic</t>
  </si>
  <si>
    <t>spotify:track:0Im7To74Oqr1wWHqWmkPH1</t>
  </si>
  <si>
    <t>Murilo Huff</t>
  </si>
  <si>
    <t>Mulher Sem Ciúme - Ao Vivo</t>
  </si>
  <si>
    <t>spotify:track:3ZbetlcfZ0tgVWdvnRzuLB</t>
  </si>
  <si>
    <t>Talita Mel, Xand Avião</t>
  </si>
  <si>
    <t>Melzinho</t>
  </si>
  <si>
    <t>Sua Música Digital</t>
  </si>
  <si>
    <t>spotify:track:2Gs0iF27my40p0dANv2rAg</t>
  </si>
  <si>
    <t>MXZI, Dj Samir, DJ Javi26</t>
  </si>
  <si>
    <t>MONTAGEM XONADA</t>
  </si>
  <si>
    <t>Lunar Media</t>
  </si>
  <si>
    <t>spotify:track:64dVFcA71XYsuqTYgIWzqf</t>
  </si>
  <si>
    <t>DJ Arana, Mc Diguinho, Mc Buret</t>
  </si>
  <si>
    <t>Senta Olhando Pra Mim</t>
  </si>
  <si>
    <t>JB MUSIC</t>
  </si>
  <si>
    <t>spotify:track:4MF0VMffyxHsy3GZwwUnAs</t>
  </si>
  <si>
    <t>Matuê</t>
  </si>
  <si>
    <t>A Morte do Autotune</t>
  </si>
  <si>
    <t>30PRAUM</t>
  </si>
  <si>
    <t>spotify:track:2gfn28JSINCJGLrUimmu0l</t>
  </si>
  <si>
    <t>Jorge &amp; Mateus</t>
  </si>
  <si>
    <t>Cantada Boba - Ao Vivo</t>
  </si>
  <si>
    <t>spotify:track:6vGZfODFI1FxMImSUbdJhz</t>
  </si>
  <si>
    <t>Resumindo - Ao Vivo</t>
  </si>
  <si>
    <t>spotify:track:6Tp4LCJ5r5IJaEf8lnlPfG</t>
  </si>
  <si>
    <t>De Trás Pra Frente - Ao Vivo</t>
  </si>
  <si>
    <t>spotify:track:280QfKhmWGn3LbyB39aA7u</t>
  </si>
  <si>
    <t>Léo Foguete</t>
  </si>
  <si>
    <t>Cópia Proibida</t>
  </si>
  <si>
    <t>spotify:track:79Wou8NwYEFzTyDQudjENF</t>
  </si>
  <si>
    <t>Desbloqueado - Ao Vivo</t>
  </si>
  <si>
    <t>spotify:track:035Q417M83JnP3wvSlyFEK</t>
  </si>
  <si>
    <t>Julliany Souza</t>
  </si>
  <si>
    <t>Quem É Esse?</t>
  </si>
  <si>
    <t>spotify:track:4pOGEJRVOuaa9oyy7qTGf6</t>
  </si>
  <si>
    <t>Nilo, Mc Paiva ZS, DJ Di Marques, Tropa da W&amp;S, FamousKyo</t>
  </si>
  <si>
    <t>Fui Mlk</t>
  </si>
  <si>
    <t>spotify:track:10MsXPpQLz5ZrOEZxTtkIm</t>
  </si>
  <si>
    <t>Ana Castela</t>
  </si>
  <si>
    <t>Olha Onde Eu Tô</t>
  </si>
  <si>
    <t>spotify:track:1RnPdd7EKKhKN3E4o4DRsh</t>
  </si>
  <si>
    <t>Repsaj, MXZI, ATLXS, Mc Jhey</t>
  </si>
  <si>
    <t>MONTAGEM BAILÃO</t>
  </si>
  <si>
    <t>repsaj</t>
  </si>
  <si>
    <t>spotify:track:2LzXPUzL9sgeRl9a5miHMA</t>
  </si>
  <si>
    <t>tarisiix, fire hair, WenHard</t>
  </si>
  <si>
    <t>OUTRA</t>
  </si>
  <si>
    <t>NOISQTA</t>
  </si>
  <si>
    <t>spotify:track:2ZrC9CTs01XkbFPtLbpHzl</t>
  </si>
  <si>
    <t>Mc Jacaré, DJ JHOW BEATS</t>
  </si>
  <si>
    <t>Senta e Cala a Boca</t>
  </si>
  <si>
    <t>Croco Hits</t>
  </si>
  <si>
    <t>spotify:track:7McCAKExE8KsI2q4Y8wx4U</t>
  </si>
  <si>
    <t>Murilo Huff, Marília Mendonça</t>
  </si>
  <si>
    <t>Dois Enganados</t>
  </si>
  <si>
    <t>spotify:track:2Ki2eKWyUq0a75yDNlreQA</t>
  </si>
  <si>
    <t>Mc IG, Dj Victor</t>
  </si>
  <si>
    <t>Pé na Areia</t>
  </si>
  <si>
    <t>spotify:track:4Hk1gmBr2KVEXr3hHwSgUi</t>
  </si>
  <si>
    <t>DG e Batidão Stronda, Mc Davi, J. Eskine, MC G15</t>
  </si>
  <si>
    <t>Mãe Solteira</t>
  </si>
  <si>
    <t>FORTAL MUSIC</t>
  </si>
  <si>
    <t>spotify:track:2Hw0LzrD6ic8AckKBxJhiO</t>
  </si>
  <si>
    <t>Deixa Eu - Ao Vivo</t>
  </si>
  <si>
    <t>spotify:track:1VpOT1TfTivUmFjSGSRt1U</t>
  </si>
  <si>
    <t>MC LUUKY, MC Jvila, DJ Dael</t>
  </si>
  <si>
    <t>Olha pra Cara de Quem Te...</t>
  </si>
  <si>
    <t>EDITORA E GRAVADORA A BASE RECORDS</t>
  </si>
  <si>
    <t>spotify:track:2Z1DmmPWD3Lm0dWAxMfjxG</t>
  </si>
  <si>
    <t>MC Jvila, Mc Negão Original, DJ Dael, DJ Guh Mix</t>
  </si>
  <si>
    <t>Pirocada Quente</t>
  </si>
  <si>
    <t>Legenda Records</t>
  </si>
  <si>
    <t>spotify:track:0HzmOYziBey06dFfxC0029</t>
  </si>
  <si>
    <t>Dama do Baralho - Ao Vivo</t>
  </si>
  <si>
    <t>spotify:track:4v6SAnzwEr7s2m0gFQnJFJ</t>
  </si>
  <si>
    <t>Áudio - Ao Vivo em Brasília</t>
  </si>
  <si>
    <t>spotify:track:7tz0PRdO9wOCHL5wr8Rne4</t>
  </si>
  <si>
    <t>Gustavo Mioto, Ana Castela</t>
  </si>
  <si>
    <t>Princesa - Ao Vivo</t>
  </si>
  <si>
    <t>spotify:track:2De1EHbIhepIVLHZ16bySE</t>
  </si>
  <si>
    <t>Talvez você precise de mim</t>
  </si>
  <si>
    <t>spotify:track:2W8XL6iRGMmGHpqW2TKcXc</t>
  </si>
  <si>
    <t>Pelo Bem da Minha Saudade</t>
  </si>
  <si>
    <t>spotify:track:5aMgTcyBPH90hWHhbNKTwR</t>
  </si>
  <si>
    <t>Entregador de Flor - Ao Vivo em Brasília</t>
  </si>
  <si>
    <t>spotify:track:7jCgslBhuPF61B6yk90VYb</t>
  </si>
  <si>
    <t>MC Ryan SP, Mc IG, DJ Japa NK, Nilo, Boladin 211, MC LUUKY, Mc Negão Original</t>
  </si>
  <si>
    <t>Sexta Feira Hoje Tem</t>
  </si>
  <si>
    <t>spotify:track:4OC93ORgqsUsio3xgAdLHP</t>
  </si>
  <si>
    <t>Dubai - Ao Vivo</t>
  </si>
  <si>
    <t>spotify:track:094IjHeVUviN4aBnSXYsuj</t>
  </si>
  <si>
    <t>DIA DELÍCIA</t>
  </si>
  <si>
    <t>Nakama</t>
  </si>
  <si>
    <t>spotify:track:0sy2mtvcM7V5ETtmQIbGVt</t>
  </si>
  <si>
    <t>Orochi, Filipe Ret, Portugal No Beat</t>
  </si>
  <si>
    <t>Van Cleef</t>
  </si>
  <si>
    <t>Mainstreet Records</t>
  </si>
  <si>
    <t>spotify:track:7so0lgd0zP2Sbgs2d7a1SZ</t>
  </si>
  <si>
    <t>Lady Gaga, Bruno Mars</t>
  </si>
  <si>
    <t>Die With A Smile</t>
  </si>
  <si>
    <t>Interscope Records</t>
  </si>
  <si>
    <t>spotify:track:4f0aDk7HX37SfzerfznYlr</t>
  </si>
  <si>
    <t>Grupo Menos É Mais, Matheus Fernandes</t>
  </si>
  <si>
    <t>Lapada Dela - Ao Vivo</t>
  </si>
  <si>
    <t>spotify:track:4D4QZPjQjISno3Qagl5SRv</t>
  </si>
  <si>
    <t>Luan Pereira, Mc Daniel</t>
  </si>
  <si>
    <t>VOCÊ E SUA AMIGUINHA - Ao Vivo</t>
  </si>
  <si>
    <t>spotify:track:65vJAh07BdwurqR9SRa6f8</t>
  </si>
  <si>
    <t>Ferrugem, Sorriso Maroto</t>
  </si>
  <si>
    <t>Apaguei Pra Todos - Ao Vivo</t>
  </si>
  <si>
    <t>spotify:track:4jUZymsR3lkia9wkP0o9cX</t>
  </si>
  <si>
    <t>DJ TOPO, Mc Livinho</t>
  </si>
  <si>
    <t>MTG NA IMAGINAÇÃO - TOPO SESSIONS VOL. 1</t>
  </si>
  <si>
    <t>DJ TOPO</t>
  </si>
  <si>
    <t>spotify:track:0lTCXzpd3WL5FsPsrO2W4W</t>
  </si>
  <si>
    <t>Israel &amp; Rodolffo</t>
  </si>
  <si>
    <t>Não, Mas Quase - Ao Vivo</t>
  </si>
  <si>
    <t>spotify:track:4HQByPPgZOGbzvgJFZX61K</t>
  </si>
  <si>
    <t>Diego &amp; Victor Hugo, Henrique &amp; Juliano</t>
  </si>
  <si>
    <t>O Alvo (feat. Henrique &amp; Juliano) - Ao Vivo</t>
  </si>
  <si>
    <t>spotify:track:1jweGFaVZxEVrOHKsLpPY4</t>
  </si>
  <si>
    <t>Adorei</t>
  </si>
  <si>
    <t>spotify:track:5asabafNzfAzjUecDvuNES</t>
  </si>
  <si>
    <t>Aquela Pessoa - Ao Vivo</t>
  </si>
  <si>
    <t>spotify:track:5bPVaf87iW31GGfmk2yqsd</t>
  </si>
  <si>
    <t>Dj Guuh, Mc Rodrigo do CN, Mc Talibã</t>
  </si>
  <si>
    <t>VAI NO CHÃO BANDIDA</t>
  </si>
  <si>
    <t>Prodok Music Group</t>
  </si>
  <si>
    <t>spotify:track:0arxXBXzv96Q449DK1SmiX</t>
  </si>
  <si>
    <t>BK, Kolo, Evinha</t>
  </si>
  <si>
    <t>Cacos De Vidro (sample: Esperar pra Ver)</t>
  </si>
  <si>
    <t>Gigantes</t>
  </si>
  <si>
    <t>spotify:track:3cwVKjzKSTfvacYJF6Tkub</t>
  </si>
  <si>
    <t>Última Noite - Solo</t>
  </si>
  <si>
    <t>sombr</t>
  </si>
  <si>
    <t>back to friends</t>
  </si>
  <si>
    <t>Warner Records</t>
  </si>
  <si>
    <t>spotify:track:3c3JcAioFbRXXWQwkdfmZH</t>
  </si>
  <si>
    <t>Lipinho Oficial, Vinicin, Surfista, Ryuchi, Ian Durso, JVMVO</t>
  </si>
  <si>
    <t>Veterano</t>
  </si>
  <si>
    <t>spotify:track:1CPZ5BxNNd0n0nF4Orb9JS</t>
  </si>
  <si>
    <t>HUNTR/X, EJAE, AUDREY NUNA, REI AMI, KPop Demon Hunters Cast</t>
  </si>
  <si>
    <t>Golden</t>
  </si>
  <si>
    <t>K-Pop Demon Hunters</t>
  </si>
  <si>
    <t>spotify:track:3nI0piSOxAik2RCpHGloB7</t>
  </si>
  <si>
    <t>Charlie Brown Jr.</t>
  </si>
  <si>
    <t>Só Os Loucos Sabem</t>
  </si>
  <si>
    <t>Best</t>
  </si>
  <si>
    <t>spotify:track:6m8AgjfI28ER6odzMxmHtR</t>
  </si>
  <si>
    <t>Racionais MC's</t>
  </si>
  <si>
    <t>Vida Loka, Pt. 1</t>
  </si>
  <si>
    <t>Boogie Naipe</t>
  </si>
  <si>
    <t>spotify:track:2gLUZtZN1gfercLP9guft3</t>
  </si>
  <si>
    <t>Léo Santana, Melody</t>
  </si>
  <si>
    <t>Desliza ("Ólhinho" No Corpinho)</t>
  </si>
  <si>
    <t>spotify:track:6ATNNv8tZF61fa7VwDH89j</t>
  </si>
  <si>
    <t>Alexsander Lucio</t>
  </si>
  <si>
    <t>O Fogo Arderá - Ao Vivo</t>
  </si>
  <si>
    <t>ID1736 - Céu Music</t>
  </si>
  <si>
    <t>spotify:track:5pFKYnVJvof8TZb2wQdCG4</t>
  </si>
  <si>
    <t>Mc Jacaré, Mc Negão Original, DJ Japa NK</t>
  </si>
  <si>
    <t>Eu Até Gosto de Você</t>
  </si>
  <si>
    <t>spotify:track:1eORtIzTN1UR0ewZWPGFl7</t>
  </si>
  <si>
    <t>Diego &amp; Victor Hugo, Lauana Prado</t>
  </si>
  <si>
    <t>Camisola e Fio - Ao Vivo</t>
  </si>
  <si>
    <t>spotify:track:7pkpWcko6KEZANj0xKsCsu</t>
  </si>
  <si>
    <t>Matheus &amp; Kauan</t>
  </si>
  <si>
    <t>Cronômetro - Ao Vivo</t>
  </si>
  <si>
    <t>spotify:track:27xkOIER6uDLKALIelHylZ</t>
  </si>
  <si>
    <t>Jin</t>
  </si>
  <si>
    <t>Don’t Say You Love Me</t>
  </si>
  <si>
    <t>BIGHIT MUSIC</t>
  </si>
  <si>
    <t>spotify:track:7KTYk6K4TSK56iNecGe2R2</t>
  </si>
  <si>
    <t>Fica De Quatão</t>
  </si>
  <si>
    <t>TREM</t>
  </si>
  <si>
    <t>spotify:track:4VNRWHoiKHZJIoQHPbmJIv</t>
  </si>
  <si>
    <t>Gosta De Rua - Ao Vivo</t>
  </si>
  <si>
    <t>spotify:track:4PiA2gsPjf5jD1zlv1DeyH</t>
  </si>
  <si>
    <t>Gustavo Mioto, Grupo Menos É Mais</t>
  </si>
  <si>
    <t>Nada Com Nada - Ao Vivo</t>
  </si>
  <si>
    <t>spotify:track:5XhG8HGyxLrkJAASxLA463</t>
  </si>
  <si>
    <t>Orochi, PL Quest, BIN, Kizzy, Mainstreet</t>
  </si>
  <si>
    <t>Champagne</t>
  </si>
  <si>
    <t>spotify:track:0rosNwHC9T8YNu3EvXLPfX</t>
  </si>
  <si>
    <t>Ferrugem</t>
  </si>
  <si>
    <t>Me Bloqueia (Ao Vivo)</t>
  </si>
  <si>
    <t>spotify:track:7oIrgnR8LIkuFPJPITmGAE</t>
  </si>
  <si>
    <t>Nair Nany, Dimy Francisco, Eunice Zumbuca</t>
  </si>
  <si>
    <t>Melhor Amigo / O Que Seria de Mim - Ao Vivo</t>
  </si>
  <si>
    <t>Nair Nany</t>
  </si>
  <si>
    <t>spotify:track:4gBLQeJrre7DklMZIaPXPd</t>
  </si>
  <si>
    <t>Bruno Rosa, Jorge &amp; Mateus</t>
  </si>
  <si>
    <t>A Grama do Vizinho - Ao Vivo</t>
  </si>
  <si>
    <t>spotify:track:4m8kG46clzxMxyrDuFo1Uq</t>
  </si>
  <si>
    <t>WIU, Oruam</t>
  </si>
  <si>
    <t>Horas Iguais</t>
  </si>
  <si>
    <t>spotify:track:60a0Rd6pjrkxjPbaKzXjfq</t>
  </si>
  <si>
    <t>Linkin Park</t>
  </si>
  <si>
    <t>In the End</t>
  </si>
  <si>
    <t>spotify:track:0wuxPTUfoJ3ewswrO1oj0l</t>
  </si>
  <si>
    <t>Mari Fernandez</t>
  </si>
  <si>
    <t>Pé na Rua - Ao Vivo</t>
  </si>
  <si>
    <t>spotify:track:3xkHsmpQCBMytMJNiDf3Ii</t>
  </si>
  <si>
    <t>Benson Boone</t>
  </si>
  <si>
    <t>Beautiful Things</t>
  </si>
  <si>
    <t>Night Street Records, Inc./Warner Records Inc.</t>
  </si>
  <si>
    <t>spotify:track:0cQVqPuHQP4KEwc7ZUQmj6</t>
  </si>
  <si>
    <t>The Neighbourhood</t>
  </si>
  <si>
    <t>Sweater Weather</t>
  </si>
  <si>
    <t>Columbia</t>
  </si>
  <si>
    <t>spotify:track:0vYrfm0eUQyi6fWbYnBiDc</t>
  </si>
  <si>
    <t>DJ NATAN 22, Mc Rodrigo do CN</t>
  </si>
  <si>
    <t>Meu Carro nao tem Porta Luva - Remastered 2024</t>
  </si>
  <si>
    <t>DJ Natan 22</t>
  </si>
  <si>
    <t>spotify:track:3g4j9Q0F4WX1Fdqo5nE2Tl</t>
  </si>
  <si>
    <t>Tasha &amp; Tracie</t>
  </si>
  <si>
    <t>Amina</t>
  </si>
  <si>
    <t>EHXIS</t>
  </si>
  <si>
    <t>spotify:track:2o2xhyri4aJUtgMGkf5P0J</t>
  </si>
  <si>
    <t>ANAVITÓRIA, Lenine</t>
  </si>
  <si>
    <t>Lisboa</t>
  </si>
  <si>
    <t>F/SIMAS</t>
  </si>
  <si>
    <t>spotify:track:2yo0j2FctlAjVUP3PLl0i1</t>
  </si>
  <si>
    <t>Mudou O Texto</t>
  </si>
  <si>
    <t>spotify:track:0zxWyvrKyz031tFfBnkYLr</t>
  </si>
  <si>
    <t>Como É Que A Gente Fica - Ao Vivo</t>
  </si>
  <si>
    <t>spotify:track:1MUK1YtogJl1f3SF3APmyL</t>
  </si>
  <si>
    <t>Apagar (Fundo Raso)</t>
  </si>
  <si>
    <t>spotify:track:6ukVCqH77f6cwRHyJBhGgy</t>
  </si>
  <si>
    <t>Arruma Um Bão</t>
  </si>
  <si>
    <t>spotify:track:69sdOLKjgnwdA2smmct2a9</t>
  </si>
  <si>
    <t>Gabriel Guedes de Almeida</t>
  </si>
  <si>
    <t>Santo Pra Sempre - Ao Vivo</t>
  </si>
  <si>
    <t>spotify:track:360yGInw4uhaOOWbAH3tuO</t>
  </si>
  <si>
    <t>Saudade e Cabelos Brancos</t>
  </si>
  <si>
    <t>spotify:track:7MnT7msJZg3XBAS0OTfGrB</t>
  </si>
  <si>
    <t>Legião Urbana</t>
  </si>
  <si>
    <t>Tempo Perdido</t>
  </si>
  <si>
    <t>EMI Brazil</t>
  </si>
  <si>
    <t>spotify:track:6sRLrSetyIwIKhW1eMlUNP</t>
  </si>
  <si>
    <t>Matheus &amp; Kauan, Marília Mendonça</t>
  </si>
  <si>
    <t>Vou Ter Que Superar - Ao Vivo</t>
  </si>
  <si>
    <t>spotify:track:7bukHRNgGLRySTJEVvLoIR</t>
  </si>
  <si>
    <t>Briga Feia - Ao Vivo</t>
  </si>
  <si>
    <t>Epic</t>
  </si>
  <si>
    <t>spotify:track:6RgXU5moRK2kNovhLQV0Yq</t>
  </si>
  <si>
    <t>BK, Luccas Carlos, Nansy Silvvz, Gigantes</t>
  </si>
  <si>
    <t>Músicas de amor nunca mais</t>
  </si>
  <si>
    <t>spotify:track:17phhZDn6oGtzMe56NuWvj</t>
  </si>
  <si>
    <t>Teddy Swims</t>
  </si>
  <si>
    <t>Lose Control</t>
  </si>
  <si>
    <t>spotify:track:6h3EEYgtIuOjeqQPIC3H37</t>
  </si>
  <si>
    <t>Eric Land, Natanzinho Lima</t>
  </si>
  <si>
    <t>Pilantra e Meio</t>
  </si>
  <si>
    <t>Eric Land</t>
  </si>
  <si>
    <t>spotify:track:1S9fKs0sAdZPlL8ViOARnS</t>
  </si>
  <si>
    <t>Vitor Santana</t>
  </si>
  <si>
    <t>João 20 + pra Sempre - Ao Vivo</t>
  </si>
  <si>
    <t>spotify:track:4dGx53NJZJyuuLP5ownH1p</t>
  </si>
  <si>
    <t>Wesley Safadão, Natanzinho Lima</t>
  </si>
  <si>
    <t>Mentira Estampada</t>
  </si>
  <si>
    <t>Wesley Safadao</t>
  </si>
  <si>
    <t>spotify:track:7C6vFDfVB9jPoglaVQZgDR</t>
  </si>
  <si>
    <t>Respeitando Minha Saudade - Ao Vivo</t>
  </si>
  <si>
    <t>Duquesa, Go Dassisti</t>
  </si>
  <si>
    <t>Fuso</t>
  </si>
  <si>
    <t>spotify:track:3bpNcH1SCEMn6zuynZGY5e</t>
  </si>
  <si>
    <t>Orochi, TkN, RUXN, Kizzy, ProdSmile</t>
  </si>
  <si>
    <t>Fashion</t>
  </si>
  <si>
    <t>spotify:track:4SjcIkVc4cvFgURD1EHxDM</t>
  </si>
  <si>
    <t>Vitinho Imperador</t>
  </si>
  <si>
    <t>Eu Me Apaixonei</t>
  </si>
  <si>
    <t>spotify:track:4s14VIfzOjS6Xb8L35QfUf</t>
  </si>
  <si>
    <t>DJ MUCA, LUIZERA DJ, Mc Morena, Mc Gw</t>
  </si>
  <si>
    <t>MEGA YOU WILL SEE</t>
  </si>
  <si>
    <t>Jet Music Group</t>
  </si>
  <si>
    <t>spotify:track:2jpbtp5N679x92uB8s8p9h</t>
  </si>
  <si>
    <t>Suel, Grupo Menos É Mais</t>
  </si>
  <si>
    <t>Vitamina C - Ao Vivo</t>
  </si>
  <si>
    <t>spotify:track:3aDV90V6vHUSYKKYDLNdQ8</t>
  </si>
  <si>
    <t>Israel &amp; Rodolffo, Jorge &amp; Mateus</t>
  </si>
  <si>
    <t>Marca Evidente - Ao Vivo</t>
  </si>
  <si>
    <t>DAMASCENO MUSIC</t>
  </si>
  <si>
    <t>Guilherme &amp; Benuto</t>
  </si>
  <si>
    <t>spotify:track:5KNi9XFap48ry4puG7rvqv</t>
  </si>
  <si>
    <t>Pra você acreditar - Ao vivo</t>
  </si>
  <si>
    <t>spotify:track:5k21RXqN11N0TIeLLySlDv</t>
  </si>
  <si>
    <t>Isadora Pompeo</t>
  </si>
  <si>
    <t>Ovelhinha (Ao Vivo)</t>
  </si>
  <si>
    <t>spotify:track:6XXqPj8USz1oebSmMPCBLC</t>
  </si>
  <si>
    <t>DJ Gouveia, DJ Dozabri, Mc Rodrigo do CN</t>
  </si>
  <si>
    <t>Tipo Nino Abravanel</t>
  </si>
  <si>
    <t>spotify:track:0vFVkEDrV58pAPEtKJLvP5</t>
  </si>
  <si>
    <t>Songs Five Music, José Jr</t>
  </si>
  <si>
    <t>Yeshua - Ao Vivo</t>
  </si>
  <si>
    <t>The Bow</t>
  </si>
  <si>
    <t>spotify:track:4yEKHiUQA70cjfWnEL2m13</t>
  </si>
  <si>
    <t>Drops INA</t>
  </si>
  <si>
    <t>É Ele</t>
  </si>
  <si>
    <t>spotify:track:3eHeTsX6W9iIEfn8l2xrWO</t>
  </si>
  <si>
    <t>Meu Amor - Ao Vivo</t>
  </si>
  <si>
    <t>spotify:track:3tA0vALUwrzkTgHcm9j6oJ</t>
  </si>
  <si>
    <t>Notificação Preferida - Ao Vivo</t>
  </si>
  <si>
    <t>spotify:track:43e3pqrdIaP8RcP77Xavhw</t>
  </si>
  <si>
    <t>Jhonas Serra</t>
  </si>
  <si>
    <t>Furioso Oceano</t>
  </si>
  <si>
    <t>spotify:track:2OMkXPz6pHdKJSkzxG0MwZ</t>
  </si>
  <si>
    <t>Kew, Dj LK da Escócia</t>
  </si>
  <si>
    <t>Descer</t>
  </si>
  <si>
    <t>spotify:track:6UzGpz33nYXa3gAEJ1mndV</t>
  </si>
  <si>
    <t>Hugo &amp; Guilherme, Maiara &amp; Maraisa</t>
  </si>
  <si>
    <t>O Meu Coração Em Suas Mãos (Colgando en tu manos) - Ao Vivo</t>
  </si>
  <si>
    <t>spotify:track:0KDxhAvKeiVFL1bZccQVJs</t>
  </si>
  <si>
    <t>Pulando o Muro - Ao Vivo</t>
  </si>
  <si>
    <t>spotify:track:5q0NlM6Pm8Pp3orq7zGiRn</t>
  </si>
  <si>
    <t>Matheus &amp; Kauan, Jorge &amp; Mateus</t>
  </si>
  <si>
    <t>Quarta Cadeira - Ao Vivo</t>
  </si>
  <si>
    <t>spotify:track:1MparvKC8QIDwu06iO3qVr</t>
  </si>
  <si>
    <t>Volta Por Baixo - Ao Vivo</t>
  </si>
  <si>
    <t>spotify:track:3zXIfbjxSzPMNP6JDZsQsi</t>
  </si>
  <si>
    <t>Orochi, Kizzy</t>
  </si>
  <si>
    <t>Mitsubishi</t>
  </si>
  <si>
    <t>spotify:track:4ssHL7bSnOAE7HjiuLx6Co</t>
  </si>
  <si>
    <t>Crack com Mussilon</t>
  </si>
  <si>
    <t>spotify:track:0CSK5vLK4YWMgHSS2cmt7A</t>
  </si>
  <si>
    <t>Eu Menti - Ao Vivo</t>
  </si>
  <si>
    <t>Lauana Prado</t>
  </si>
  <si>
    <t>Kamasutra - Ao Vivo</t>
  </si>
  <si>
    <t>spotify:track:6OPfBo0J6yqzSY9WxNlbA5</t>
  </si>
  <si>
    <t>MC Willian, DJ Japa NK, DJ DAVI DOGDOG</t>
  </si>
  <si>
    <t>Valentino</t>
  </si>
  <si>
    <t>spotify:track:2655xYZ347fG2N6OjkoMQ8</t>
  </si>
  <si>
    <t>Logo Eu</t>
  </si>
  <si>
    <t>spotify:track:0jDBq8sXPh28uWmLeYwPQk</t>
  </si>
  <si>
    <t>Sofro e Não Nego</t>
  </si>
  <si>
    <t>spotify:track:09L86iWuxm6WJy2gXWNsQt</t>
  </si>
  <si>
    <t>DJ BRUNINHO 17, DJ RIICK ORIGINAL, Jean Divulga</t>
  </si>
  <si>
    <t>SACODE AUTOMOTIVO</t>
  </si>
  <si>
    <t>DJ BRUNINHO 17</t>
  </si>
  <si>
    <t>spotify:track:5oI9blwsXC8AkTWw6wASY8</t>
  </si>
  <si>
    <t>Máquina do Tempo</t>
  </si>
  <si>
    <t>spotify:track:2je7f5dovpUabOqTSfyD5V</t>
  </si>
  <si>
    <t>Jejum de Amor / Caixa Postal / Vida Vazia - Ao Vivo</t>
  </si>
  <si>
    <t>Angelotti</t>
  </si>
  <si>
    <t>Luan Santana, Léo Foguete</t>
  </si>
  <si>
    <t>DONA - Ao Vivo</t>
  </si>
  <si>
    <t>spotify:track:2fjqfFUq64thFsqfKN01kS</t>
  </si>
  <si>
    <t>Matuê, Veigh</t>
  </si>
  <si>
    <t>Imagina esse Cenário</t>
  </si>
  <si>
    <t>Billie Eilish</t>
  </si>
  <si>
    <t>spotify:track:6Qyc6fS4DsZjB2mRW9DsQs</t>
  </si>
  <si>
    <t>The Goo Goo Dolls</t>
  </si>
  <si>
    <t>Iris</t>
  </si>
  <si>
    <t>spotify:track:6gFQhcUOhNXaq965kYEdsH</t>
  </si>
  <si>
    <t>Delacruz, Maria, Ducon, Luiz Lins, Diomedes Chinaski, BK, Kayuá, Pineapple StormTv</t>
  </si>
  <si>
    <t>Poesia Acústica #2: Sobre Nós</t>
  </si>
  <si>
    <t>Pineapple StormTV</t>
  </si>
  <si>
    <t>spotify:track:6C5EczmaeIUmf1pTYux9f1</t>
  </si>
  <si>
    <t>Tem Amor, Tem Volta - Ao Vivo</t>
  </si>
  <si>
    <t>spotify:track:371Up3WP7OqJNFPf0BiyUe</t>
  </si>
  <si>
    <t>Largado Às Traças - Ao Vivo</t>
  </si>
  <si>
    <t>spotify:track:6vq7r1Pqd3pyI07u63cPZV</t>
  </si>
  <si>
    <t>Erro Gostoso - Ao Vivo</t>
  </si>
  <si>
    <t>Arctic Monkeys</t>
  </si>
  <si>
    <t>Sabrina Carpenter</t>
  </si>
  <si>
    <t>Saveiro</t>
  </si>
  <si>
    <t>spotify:track:5H1sKFMzDeMtXwND3V6hRY</t>
  </si>
  <si>
    <t>BLACKPINK</t>
  </si>
  <si>
    <t>JUMP</t>
  </si>
  <si>
    <t>YG Entertainment</t>
  </si>
  <si>
    <t>spotify:track:1xOqGUkyxGQRdCvGpvWKmL</t>
  </si>
  <si>
    <t>KATSEYE</t>
  </si>
  <si>
    <t>Gabriela</t>
  </si>
  <si>
    <t>HYBE/Geffen</t>
  </si>
  <si>
    <t>spotify:track:7Elw15XWLpOi4qzHyAwa9e</t>
  </si>
  <si>
    <t>Gloria Groove</t>
  </si>
  <si>
    <t>Nosso Primeiro Beijo - Ao Vivo</t>
  </si>
  <si>
    <t>SB Music</t>
  </si>
  <si>
    <t>Oruam Distribuições</t>
  </si>
  <si>
    <t>Coldplay</t>
  </si>
  <si>
    <t>spotify:track:14KMQgJYGx0WMwmSLRnlHd</t>
  </si>
  <si>
    <t>Turma do Pagode, Ferrugem, Mumuzinho</t>
  </si>
  <si>
    <t>Duvido - Ao Vivo</t>
  </si>
  <si>
    <t>Work Show</t>
  </si>
  <si>
    <t>spotify:track:5ntUQs7jxnUH8SukZy4830</t>
  </si>
  <si>
    <t>Vitor Limma, Yan</t>
  </si>
  <si>
    <t>Meu Jeito de Amar / Final de Tarde - Ao Vivo</t>
  </si>
  <si>
    <t>3 Desejos Produções Artísticas</t>
  </si>
  <si>
    <t>O Rappa</t>
  </si>
  <si>
    <t>Data de Pico</t>
  </si>
  <si>
    <t>Última Noite</t>
  </si>
  <si>
    <t>Nattan</t>
  </si>
  <si>
    <t>Grupo Menos É Mais, Xand Avião</t>
  </si>
  <si>
    <t>Matadinha De Saudade - Ao Vivo</t>
  </si>
  <si>
    <t>Morena</t>
  </si>
  <si>
    <t>Felipe Amorim</t>
  </si>
  <si>
    <t>artist_name</t>
  </si>
  <si>
    <t>spotify:artist:3p7PcrEHaaKLJnPUGOtRlT</t>
  </si>
  <si>
    <t>spotify:artist:6vTqEFbTtTRJsuIpzZgjxi</t>
  </si>
  <si>
    <t>spotify:artist:487N2T9nIPEHrlTZLL3SQs</t>
  </si>
  <si>
    <t>spotify:artist:75i9GaW2MJUgt4BkdUnuUY</t>
  </si>
  <si>
    <t>MC Ryan SP</t>
  </si>
  <si>
    <t>spotify:artist:2q9wk5fkeU2C9CgCKdh4AN</t>
  </si>
  <si>
    <t>Mc IG</t>
  </si>
  <si>
    <t>spotify:artist:1elUiq4X7pxej6FRlrEzjM</t>
  </si>
  <si>
    <t>spotify:artist:7gJN8W0589FisSYJS17K54</t>
  </si>
  <si>
    <t>Filipe Ret</t>
  </si>
  <si>
    <t>spotify:artist:2Z0lRIqr997lIUiPtrpKCr</t>
  </si>
  <si>
    <t>spotify:artist:2eK9gcJQ6uqVvJL63dnOM3</t>
  </si>
  <si>
    <t>spotify:artist:4YqwRbMLqGHRHLS1w2ZKse</t>
  </si>
  <si>
    <t>Veigh</t>
  </si>
  <si>
    <t>spotify:artist:7MiDcPa6UiV3In7lIM71IN</t>
  </si>
  <si>
    <t>spotify:artist:3prRKGJz16RRMRSIM97nHw</t>
  </si>
  <si>
    <t>Supernova Ent</t>
  </si>
  <si>
    <t>spotify:artist:3rfM2cGqF6DB0kUyytMkXx</t>
  </si>
  <si>
    <t>Orochi</t>
  </si>
  <si>
    <t>spotify:artist:54bV1pHNm5h5EcEgMis1RC</t>
  </si>
  <si>
    <t>Mc Rodrigo do CN</t>
  </si>
  <si>
    <t>spotify:artist:5nP8x4uEFjAAmDzwOEc9b8</t>
  </si>
  <si>
    <t>spotify:artist:1yR65psqiazQpeM79CcGh8</t>
  </si>
  <si>
    <t>Marília Mendonça</t>
  </si>
  <si>
    <t>spotify:artist:4LHTgACY32k94VDjenF0nP</t>
  </si>
  <si>
    <t>Mc Negão Original</t>
  </si>
  <si>
    <t>spotify:artist:3hq7WoPJsrRP0KMSLhUgRz</t>
  </si>
  <si>
    <t>spotify:artist:5qIpstBGrGteJZg1xIvbiz</t>
  </si>
  <si>
    <t>Panda</t>
  </si>
  <si>
    <t>spotify:artist:3k68C6mNMJL6OaAdWeW2ZF</t>
  </si>
  <si>
    <t>spotify:artist:3CIIaeZuFYrAD6PRVyuO4U</t>
  </si>
  <si>
    <t>spotify:artist:0Il5vC8lqunSFNav4mMLxU</t>
  </si>
  <si>
    <t>Natanzinho Lima</t>
  </si>
  <si>
    <t>spotify:artist:6aoGgTKGqtsjj48ymcNs4Z</t>
  </si>
  <si>
    <t>MC Tuto</t>
  </si>
  <si>
    <t>spotify:artist:2CKOmarVWvWqkNWUatHCex</t>
  </si>
  <si>
    <t>spotify:artist:5ZfBThYiIIhL7jHMG8gDB2</t>
  </si>
  <si>
    <t>spotify:artist:3qvcCP2J0fWi0m0uQDUf6r</t>
  </si>
  <si>
    <t>Luan Santana</t>
  </si>
  <si>
    <t>spotify:artist:55Wn8tf8dBvfl1HRsD7Kze</t>
  </si>
  <si>
    <t>Continental</t>
  </si>
  <si>
    <t>spotify:artist:6Wlvsn3IPHiZwAv02lB5eC</t>
  </si>
  <si>
    <t>Ícaro e Gilmar</t>
  </si>
  <si>
    <t>spotify:artist:06HL4z0CvFAxyc27GXpf02</t>
  </si>
  <si>
    <t>Taylor Swift</t>
  </si>
  <si>
    <t>spotify:artist:1bpnl8qbR9GxmiNlkEufW6</t>
  </si>
  <si>
    <t>DJ Japa NK</t>
  </si>
  <si>
    <t>spotify:artist:1on7ZQ2pvgeQF4vmIA09x5</t>
  </si>
  <si>
    <t>spotify:artist:1LIuN7ov1IBQDdLsU83ojl</t>
  </si>
  <si>
    <t>Hugo &amp; Guilherme</t>
  </si>
  <si>
    <t>spotify:artist:4yGgbQJMq9orWypwqtdzYT</t>
  </si>
  <si>
    <t>Oruam</t>
  </si>
  <si>
    <t>spotify:artist:1YOVBTvznjiDvtAj4ExHeo</t>
  </si>
  <si>
    <t>BK</t>
  </si>
  <si>
    <t>spotify:artist:1fUSLFr4WUBx7joEcGwpvG</t>
  </si>
  <si>
    <t>Sorriso Maroto</t>
  </si>
  <si>
    <t>spotify:artist:0vLuOi2k62sHujIfplInlK</t>
  </si>
  <si>
    <t>Hungria</t>
  </si>
  <si>
    <t>spotify:artist:1WQBwwssN6r8DSjUlkyUGW</t>
  </si>
  <si>
    <t>MC Cabelinho</t>
  </si>
  <si>
    <t>spotify:artist:6TYimByryGphZCtwYopH0y</t>
  </si>
  <si>
    <t>spotify:artist:2h5Ha0ZiMFmOQD3iYcSXsy</t>
  </si>
  <si>
    <t>KayBlack</t>
  </si>
  <si>
    <t>spotify:artist:0f1IECbrVV952unZkzrsg2</t>
  </si>
  <si>
    <t>Mc Gw</t>
  </si>
  <si>
    <t>spotify:artist:5pBMkZNIlbGTH3hrsQJqAa</t>
  </si>
  <si>
    <t>Mc Kevin</t>
  </si>
  <si>
    <t>spotify:artist:1AL2GKpmRrKXkYIcASuRFa</t>
  </si>
  <si>
    <t>Wesley Safadão</t>
  </si>
  <si>
    <t>spotify:artist:5kVgcCdPbeUwxBqWxi2Ktl</t>
  </si>
  <si>
    <t>Luan Pereira</t>
  </si>
  <si>
    <t>spotify:artist:5s27i7oqhNWIcE4HeoVdq0</t>
  </si>
  <si>
    <t>MC GP</t>
  </si>
  <si>
    <t>spotify:artist:70jpkgy5oGT4YjaGFpCpk7</t>
  </si>
  <si>
    <t>MC LUUKY</t>
  </si>
  <si>
    <t>spotify:artist:3CDoRporvSjdzTrm99a3gi</t>
  </si>
  <si>
    <t>LUDMILLA</t>
  </si>
  <si>
    <t>spotify:artist:5JXhkyafynxCvxtov7C1PV</t>
  </si>
  <si>
    <t>Bruno &amp; Marrone</t>
  </si>
  <si>
    <t>spotify:artist:3MrDVzg7ZXaYMyQmbDInr7</t>
  </si>
  <si>
    <t>WIU</t>
  </si>
  <si>
    <t>spotify:artist:6XyY86QOPPrYVGvF9ch6wz</t>
  </si>
  <si>
    <t>spotify:artist:6XFc29m1ptfUNmaa1UTuBT</t>
  </si>
  <si>
    <t>MC Joãozinho VT</t>
  </si>
  <si>
    <t>spotify:artist:0pcoadNMmvrUyab1RxWBoV</t>
  </si>
  <si>
    <t>MC Hariel</t>
  </si>
  <si>
    <t>spotify:artist:1X6ORK7IekgmyjV6IFPszP</t>
  </si>
  <si>
    <t>Gustavo Mioto</t>
  </si>
  <si>
    <t>spotify:artist:5Dz2FizMLqV0Cr3c8uhEcF</t>
  </si>
  <si>
    <t>MC Cebezinho</t>
  </si>
  <si>
    <t>spotify:artist:1uNFoZAHBGtllmzznpCI3s</t>
  </si>
  <si>
    <t>Justin Bieber</t>
  </si>
  <si>
    <t>spotify:artist:4dyYjqmYDjegbB3F2mbvcT</t>
  </si>
  <si>
    <t>Zezé Di Camargo &amp; Luciano</t>
  </si>
  <si>
    <t>spotify:artist:4PLdCloYxu2bMKfuuB9lI5</t>
  </si>
  <si>
    <t>MC PH</t>
  </si>
  <si>
    <t>spotify:artist:4PzYKhC14sTJNEr0dzoo0d</t>
  </si>
  <si>
    <t>Luísa Sonza</t>
  </si>
  <si>
    <t>spotify:artist:1Xyo4u8uXC1ZmMpatF05PJ</t>
  </si>
  <si>
    <t>The Weeknd</t>
  </si>
  <si>
    <t>spotify:artist:7gZu6kPnY9enEi5FvgTO4F</t>
  </si>
  <si>
    <t>spotify:artist:1zEo6Fk1iaaOYFlFPBHCFn</t>
  </si>
  <si>
    <t>Humberto &amp; Ronaldo</t>
  </si>
  <si>
    <t>spotify:artist:4JNo6Q5KdcRf1vtSX9mB0S</t>
  </si>
  <si>
    <t>João Gomes</t>
  </si>
  <si>
    <t>spotify:artist:0du5cEVh5yTK9QJze8zA0C</t>
  </si>
  <si>
    <t>Bruno Mars</t>
  </si>
  <si>
    <t>spotify:artist:7FNnA9vBm6EKceENgCGRMb</t>
  </si>
  <si>
    <t>Anitta</t>
  </si>
  <si>
    <t>spotify:artist:4LAFtDzlQM89xov636hMVv</t>
  </si>
  <si>
    <t>Dallass</t>
  </si>
  <si>
    <t>spotify:artist:1HY2Jd0NmPuamShAr6KMms</t>
  </si>
  <si>
    <t>Lady Gaga</t>
  </si>
  <si>
    <t>spotify:artist:29CQLw9uLWsl8Qkz9holfr</t>
  </si>
  <si>
    <t>spotify:artist:0oAZhL6hFrM3YRr6QzjlOf</t>
  </si>
  <si>
    <t>MJ Records</t>
  </si>
  <si>
    <t>spotify:artist:7Lmrb6KcIzfkmgbtokjsAL</t>
  </si>
  <si>
    <t>Mc Don Juan</t>
  </si>
  <si>
    <t>spotify:artist:27azwwkxutWL1BWMkgNIh0</t>
  </si>
  <si>
    <t>Vulgo FK</t>
  </si>
  <si>
    <t>spotify:artist:1sPg5EHuQXTMElpZ4iUgXe</t>
  </si>
  <si>
    <t>ANAVITÓRIA</t>
  </si>
  <si>
    <t>spotify:artist:6iAY2AyUZLSX3PWLIAfFZY</t>
  </si>
  <si>
    <t>Fernandinho</t>
  </si>
  <si>
    <t>spotify:artist:68YeXpLt3jB7JHQS5ZjMGo</t>
  </si>
  <si>
    <t>Teto</t>
  </si>
  <si>
    <t>spotify:artist:4gzpq5DPGxSnKTe4SA8HAU</t>
  </si>
  <si>
    <t>spotify:artist:2f8xoxornfSw6ePzgyM9NO</t>
  </si>
  <si>
    <t>MC Jvila</t>
  </si>
  <si>
    <t>spotify:artist:04QHNiih9ZesPvals6II1h</t>
  </si>
  <si>
    <t>MC Marks</t>
  </si>
  <si>
    <t>spotify:artist:1CbQrKvCpEnekM3QMGJtXK</t>
  </si>
  <si>
    <t>MC Meno K</t>
  </si>
  <si>
    <t>spotify:artist:1WXbiUMl1AT9Inb619xPUg</t>
  </si>
  <si>
    <t>BIN</t>
  </si>
  <si>
    <t>spotify:artist:7cmuxPnXRJxwuYDHfbD8Eu</t>
  </si>
  <si>
    <t>Zé Felipe</t>
  </si>
  <si>
    <t>spotify:artist:09U6hmCerKcIJrixubiBjm</t>
  </si>
  <si>
    <t>Pineapple StormTv</t>
  </si>
  <si>
    <t>spotify:artist:59jlthNnbmim5l9tmNA7se</t>
  </si>
  <si>
    <t>Maiara &amp; Maraisa</t>
  </si>
  <si>
    <t>spotify:artist:6rk6Izp6o42fUdE0jRqAP4</t>
  </si>
  <si>
    <t>Alee</t>
  </si>
  <si>
    <t>spotify:artist:1vppDmG3i5sXf3DJzrK4T1</t>
  </si>
  <si>
    <t>Thiaguinho</t>
  </si>
  <si>
    <t>spotify:artist:1DuBkL1pAgaZQHXKPiVr08</t>
  </si>
  <si>
    <t>spotify:artist:25XJqeReVV38w0tR04GGBd</t>
  </si>
  <si>
    <t>Mainstreet</t>
  </si>
  <si>
    <t>spotify:artist:1xxS2WrLlgl9QNGEUCsbPG</t>
  </si>
  <si>
    <t>Tribo da Periferia</t>
  </si>
  <si>
    <t>spotify:artist:0JjPiLQNgAFaEkwoy56B1C</t>
  </si>
  <si>
    <t>L7NNON</t>
  </si>
  <si>
    <t>spotify:artist:6m6e7D2TnV0aYMllFFwMxu</t>
  </si>
  <si>
    <t>spotify:artist:0gHj4MPwwcZ8Zl9CY0hqT5</t>
  </si>
  <si>
    <t>Mc Paiva ZS</t>
  </si>
  <si>
    <t>spotify:artist:1mV9h1AwhRXSjBFcYpajgY</t>
  </si>
  <si>
    <t>Mc Lele JP</t>
  </si>
  <si>
    <t>spotify:artist:6vWDO969PvNqNYHIOW5v0m</t>
  </si>
  <si>
    <t>Beyoncé</t>
  </si>
  <si>
    <t>spotify:artist:5wEgjH2s4SAiffRmzkBqHB</t>
  </si>
  <si>
    <t>Wall Hein</t>
  </si>
  <si>
    <t>spotify:artist:5YwzDz4RJfTiMHS4tdR5Lf</t>
  </si>
  <si>
    <t>Xamã</t>
  </si>
  <si>
    <t>spotify:artist:5JG9GISYjRLQUJMH2C6iJ5</t>
  </si>
  <si>
    <t>Turma do Pagode</t>
  </si>
  <si>
    <t>spotify:artist:3lIU3RoZiHen1QXAQ3KQ9e</t>
  </si>
  <si>
    <t>Tz da Coronel</t>
  </si>
  <si>
    <t>spotify:artist:66CXWjxzNUsdJxJ2JdwvnR</t>
  </si>
  <si>
    <t>Ariana Grande</t>
  </si>
  <si>
    <t>spotify:artist:1MzXJ8AaHdidMAnjgcahS4</t>
  </si>
  <si>
    <t>Delacruz</t>
  </si>
  <si>
    <t>spotify:artist:1SXhEXzOTF7YeuQX59m7pT</t>
  </si>
  <si>
    <t>NATTAN</t>
  </si>
  <si>
    <t>spotify:artist:204IwDdaHE4ymGk9Kya2pY</t>
  </si>
  <si>
    <t>Djonga</t>
  </si>
  <si>
    <t>spotify:artist:2xOLGU5UNLV3KQSFteF8ZW</t>
  </si>
  <si>
    <t>Boladin 211</t>
  </si>
  <si>
    <t>spotify:artist:1b8S7EPzdckRyIh0uSbOMI</t>
  </si>
  <si>
    <t>DJ Oreia</t>
  </si>
  <si>
    <t>spotify:artist:6qqNVTkY8uBg9cP3Jd7DAH</t>
  </si>
  <si>
    <t>spotify:artist:00FQb4jTyendYWaN8pK0wa</t>
  </si>
  <si>
    <t>Lana Del Rey</t>
  </si>
  <si>
    <t>spotify:artist:7me0S5Z40qVWj3gzyK8aC3</t>
  </si>
  <si>
    <t>Mc Livinho</t>
  </si>
  <si>
    <t>spotify:artist:21ELc2P2rA3Cu6xw3VWqvv</t>
  </si>
  <si>
    <t>Mc Kadu</t>
  </si>
  <si>
    <t>spotify:artist:1A5kGvmKIVtX7NhcbtTZJY</t>
  </si>
  <si>
    <t>Todah Music</t>
  </si>
  <si>
    <t>spotify:artist:3zG4hHVlA4xIX5jwvOa2KD</t>
  </si>
  <si>
    <t>DJ Guh Mix</t>
  </si>
  <si>
    <t>spotify:artist:5InVWl8IZB8zFAoNa5roKm</t>
  </si>
  <si>
    <t>Mc Kako</t>
  </si>
  <si>
    <t>spotify:artist:41QLxRXlc2NwfJZkHGHKid</t>
  </si>
  <si>
    <t>spotify:artist:5pKCCKE2ajJHZ9KAiaK11H</t>
  </si>
  <si>
    <t>Rihanna</t>
  </si>
  <si>
    <t>spotify:artist:3Nrfpe0tUJi4K4DXYWgMUX</t>
  </si>
  <si>
    <t>BTS</t>
  </si>
  <si>
    <t>spotify:artist:1cYhx7ZOhYoVmnDPb9KMwo</t>
  </si>
  <si>
    <t>Mc Davi</t>
  </si>
  <si>
    <t>spotify:artist:7kk9ucvRJim0NMM89Lml2Y</t>
  </si>
  <si>
    <t>MXZI</t>
  </si>
  <si>
    <t>spotify:artist:68PYmgkbRP1qZnEWOry7sB</t>
  </si>
  <si>
    <t>Chefin</t>
  </si>
  <si>
    <t>spotify:artist:4NUePmzDvCYqilXBFa91Hg</t>
  </si>
  <si>
    <t>Dilsinho</t>
  </si>
  <si>
    <t>spotify:artist:1Bp5RHQ2K9k986YoxNvACB</t>
  </si>
  <si>
    <t>Perera DJ</t>
  </si>
  <si>
    <t>spotify:artist:0d71FlLkqZzdpEQifcngQq</t>
  </si>
  <si>
    <t>spotify:artist:1A5QJAC1vdhbhPE25Q0x0f</t>
  </si>
  <si>
    <t>spotify:artist:0Y5tJX1MQlPlqiwlOH1tJY</t>
  </si>
  <si>
    <t>Travis Scott</t>
  </si>
  <si>
    <t>spotify:artist:7b5XefluHSHw1lKQkqIZO0</t>
  </si>
  <si>
    <t>Duckjay</t>
  </si>
  <si>
    <t>spotify:artist:2uOlKKhuUUWlTITCYYUuIK</t>
  </si>
  <si>
    <t>Pablo</t>
  </si>
  <si>
    <t>spotify:artist:1Cs0zKBU1kc0i8ypK3B9ai</t>
  </si>
  <si>
    <t>David Guetta</t>
  </si>
  <si>
    <t>spotify:artist:0BHm7qbh3ENxvXzkQAG7MP</t>
  </si>
  <si>
    <t>spotify:artist:0EOOwVUWdPElrXOJyKOiBw</t>
  </si>
  <si>
    <t>MC Nito</t>
  </si>
  <si>
    <t>spotify:artist:7yQrcdkLdBAkV7yY9fF2Hw</t>
  </si>
  <si>
    <t>Grupo Revelação</t>
  </si>
  <si>
    <t>spotify:artist:0NGAZxHanS9e0iNHpR8f2W</t>
  </si>
  <si>
    <t>Alok</t>
  </si>
  <si>
    <t>spotify:artist:1JlC6XG7lkwT6GzgQB9xOx</t>
  </si>
  <si>
    <t>Duquesa</t>
  </si>
  <si>
    <t>spotify:artist:03PnQHlbH5nDDVX3hNg628</t>
  </si>
  <si>
    <t>Dj GM</t>
  </si>
  <si>
    <t>spotify:artist:6qrqAYlS6lUj2BVXax7SZW</t>
  </si>
  <si>
    <t>Mc Jacaré</t>
  </si>
  <si>
    <t>spotify:artist:2UMj7NCbuqy1yUZmiSYGjJ</t>
  </si>
  <si>
    <t>MC Kevin o Chris</t>
  </si>
  <si>
    <t>spotify:artist:2tswayWsUGjUwpvN8KRwuN</t>
  </si>
  <si>
    <t>spotify:artist:4fdCGYM7dtJLa3LvR1ccto</t>
  </si>
  <si>
    <t>Gabriela Rocha</t>
  </si>
  <si>
    <t>spotify:artist:4Kv35Xnw1ODjO2nIHLhdBY</t>
  </si>
  <si>
    <t>Dj Caio Vieira</t>
  </si>
  <si>
    <t>spotify:artist:6TPJK8tv3AKKSsw0lENTQk</t>
  </si>
  <si>
    <t>Nagalli</t>
  </si>
  <si>
    <t>spotify:artist:43DRDu6nLSeIedZ7T1A616</t>
  </si>
  <si>
    <t>Xand Avião</t>
  </si>
  <si>
    <t>spotify:artist:78nr1pVnDR7qZH6QbVMYZf</t>
  </si>
  <si>
    <t>Baco Exu do Blues</t>
  </si>
  <si>
    <t>spotify:artist:5DaqVKaxeqDbJuxaIP9m4u</t>
  </si>
  <si>
    <t>spotify:artist:6XX6KGpomRDPmGGm7bofCK</t>
  </si>
  <si>
    <t>DJ Glenner</t>
  </si>
  <si>
    <t>spotify:artist:6gEzJZrbm0F4ihvE9iXR9z</t>
  </si>
  <si>
    <t>Péricles</t>
  </si>
  <si>
    <t>spotify:artist:1APqNiQUA2XpwLEbywSWmZ</t>
  </si>
  <si>
    <t>Tropa da W&amp;S</t>
  </si>
  <si>
    <t>spotify:artist:0V208yTQ5OGOUBZuszu6Fn</t>
  </si>
  <si>
    <t>fhop music</t>
  </si>
  <si>
    <t>spotify:artist:37mqXU98U5GmH5ZDtlHM1c</t>
  </si>
  <si>
    <t>Matheus Fernandes</t>
  </si>
  <si>
    <t>spotify:artist:28ie4NNTa2VW2QV4Zray8M</t>
  </si>
  <si>
    <t>Mc Poze do Rodo</t>
  </si>
  <si>
    <t>spotify:artist:5ncITNKBT3RMa1U2NsuE7V</t>
  </si>
  <si>
    <t>DJ BOY</t>
  </si>
  <si>
    <t>spotify:artist:0nFdWpwl7h6fp3ADRyG14L</t>
  </si>
  <si>
    <t>Marina Sena</t>
  </si>
  <si>
    <t>spotify:artist:53XhwfbYqKCa1cC15pYq2q</t>
  </si>
  <si>
    <t>Imagine Dragons</t>
  </si>
  <si>
    <t>spotify:artist:06e0gXtUpvgPUZFrR2ywsg</t>
  </si>
  <si>
    <t>DJ Dozabri</t>
  </si>
  <si>
    <t>spotify:artist:72aE07MxpePfCELo4vGZcK</t>
  </si>
  <si>
    <t>Mãolee</t>
  </si>
  <si>
    <t>spotify:artist:1tKrZaph4cLsnEdqC5BNEQ</t>
  </si>
  <si>
    <t>spotify:artist:1OFP2fSFWTfJ80rzUo5AGb</t>
  </si>
  <si>
    <t>Maneva</t>
  </si>
  <si>
    <t>spotify:artist:1eIYP01ZLPKEExhcV6xFgt</t>
  </si>
  <si>
    <t>Grelo</t>
  </si>
  <si>
    <t>spotify:artist:06lnOkY99sXVW44Y0M4BDP</t>
  </si>
  <si>
    <t>Vitão</t>
  </si>
  <si>
    <t>spotify:artist:1etNnR2SdlelBQAICa2Q5m</t>
  </si>
  <si>
    <t>Mc Pedrinho</t>
  </si>
  <si>
    <t>spotify:artist:39QiJaZ1HzRcpY9xlMKCsF</t>
  </si>
  <si>
    <t>TrapLaudo</t>
  </si>
  <si>
    <t>spotify:artist:0PMk31f9Log4ixwUUY40p6</t>
  </si>
  <si>
    <t>Malibu</t>
  </si>
  <si>
    <t>spotify:artist:7hLjkyL9Pz9xtQNahzJZki</t>
  </si>
  <si>
    <t>Belo</t>
  </si>
  <si>
    <t>spotify:artist:6tw6EpC9RgmSRZiZg0n22t</t>
  </si>
  <si>
    <t>spotify:artist:7dGJo4pcD2V6oG8kP0tJRR</t>
  </si>
  <si>
    <t>Eminem</t>
  </si>
  <si>
    <t>spotify:artist:04gDigrS5kc9YWfZHwBETP</t>
  </si>
  <si>
    <t>Maroon 5</t>
  </si>
  <si>
    <t>spotify:artist:3TVXtAsR1Inumwj472S9r4</t>
  </si>
  <si>
    <t>Drake</t>
  </si>
  <si>
    <t>spotify:artist:5eAWCfyUhZtHHtBdNk56l1</t>
  </si>
  <si>
    <t>System Of A Down</t>
  </si>
  <si>
    <t>spotify:artist:5wbf52LA6kcaboHSN6NEF1</t>
  </si>
  <si>
    <t>PEDRO SAMPAIO</t>
  </si>
  <si>
    <t>spotify:artist:5rrmaoBXZ7Jcs4Qb77j0YA</t>
  </si>
  <si>
    <t>Djavan</t>
  </si>
  <si>
    <t>spotify:artist:0f59qYByNYzspwAr7huTSB</t>
  </si>
  <si>
    <t>spotify:artist:0KcbRunfjZHfwEnEgd1Dy6</t>
  </si>
  <si>
    <t>Murillo e LT no Beat</t>
  </si>
  <si>
    <t>spotify:artist:7bXgB6jMjp9ATFy66eO08Z</t>
  </si>
  <si>
    <t>Chris Brown</t>
  </si>
  <si>
    <t>spotify:artist:48HORs6F9P7IgdyKrk4MZC</t>
  </si>
  <si>
    <t>Tarcísio do Acordeon</t>
  </si>
  <si>
    <t>spotify:artist:7CajNmpbOovFoOoasH2HaY</t>
  </si>
  <si>
    <t>Calvin Harris</t>
  </si>
  <si>
    <t>spotify:artist:2OUgs5INWK2UEvZ6amWiJr</t>
  </si>
  <si>
    <t>Eduardo Costa</t>
  </si>
  <si>
    <t>spotify:artist:7zxFc10N9BP2lg73b8cwZ0</t>
  </si>
  <si>
    <t>Salve Malak</t>
  </si>
  <si>
    <t>spotify:artist:3la3vRfIuDMsydpPfUBryR</t>
  </si>
  <si>
    <t>DJ Ari SL</t>
  </si>
  <si>
    <t>spotify:artist:592JnViQ2tot63c1SbtgK2</t>
  </si>
  <si>
    <t>MC Paulin da Capital</t>
  </si>
  <si>
    <t>spotify:artist:6M2wZ9GZgrQXHCFfjv46we</t>
  </si>
  <si>
    <t>Dua Lipa</t>
  </si>
  <si>
    <t>spotify:artist:1a3fr7NdeBT4JlGj6YlbDL</t>
  </si>
  <si>
    <t>Caio Luccas</t>
  </si>
  <si>
    <t>spotify:artist:1oSgjdbgLYULVmEBojPRw8</t>
  </si>
  <si>
    <t>Fernando &amp; Sorocaba</t>
  </si>
  <si>
    <t>spotify:artist:39VceBo0jXir85LCeAmAIs</t>
  </si>
  <si>
    <t>Kamisa 10</t>
  </si>
  <si>
    <t>spotify:artist:7nVA7u9N6fIcxxTXJDl4hq</t>
  </si>
  <si>
    <t>Yan</t>
  </si>
  <si>
    <t>spotify:artist:4PhdYoQGH8s1xee81dqQOO</t>
  </si>
  <si>
    <t>Natiruts</t>
  </si>
  <si>
    <t>spotify:artist:0qHOVLCmMmMgk9l3GsgmUB</t>
  </si>
  <si>
    <t>Leandro &amp; Leonardo</t>
  </si>
  <si>
    <t>spotify:artist:0rSTXALHu0EKAawPLBdODH</t>
  </si>
  <si>
    <t>Marisa Monte</t>
  </si>
  <si>
    <t>spotify:artist:74KM79TiuVKeVCqs8QtB0B</t>
  </si>
  <si>
    <t>spotify:artist:0L8ExT028jH3ddEcZwqJJ5</t>
  </si>
  <si>
    <t>Red Hot Chili Peppers</t>
  </si>
  <si>
    <t>spotify:artist:7Ln80lUS6He07XvHI8qqHH</t>
  </si>
  <si>
    <t>spotify:artist:23ot0eI6ByBW6LrlBfr2bm</t>
  </si>
  <si>
    <t>Pedro Lotto</t>
  </si>
  <si>
    <t>spotify:artist:6eUKZXaKkcviH0Ku9w2n3V</t>
  </si>
  <si>
    <t>Ed Sheeran</t>
  </si>
  <si>
    <t>Traia Véia</t>
  </si>
  <si>
    <t>spotify:artist:7rXMvXRnWHaSwnVvPeUUfw</t>
  </si>
  <si>
    <t>spotify:artist:6YzSM19LzpLH0nVKKU6Jsy</t>
  </si>
  <si>
    <t>Mc Daniel</t>
  </si>
  <si>
    <t>spotify:artist:2NMYOlZHIEsSq7pp5jBjic</t>
  </si>
  <si>
    <t>Kizzy</t>
  </si>
  <si>
    <t>spotify:artist:0CrGLmfVKzk9rAyiNb91ft</t>
  </si>
  <si>
    <t>Diego &amp; Arnaldo</t>
  </si>
  <si>
    <t>spotify:track:5NjLYM91TKZBxQ9hPl6qh0</t>
  </si>
  <si>
    <t>Clebinho No Beat</t>
  </si>
  <si>
    <t>Eu Plantei Mandioca</t>
  </si>
  <si>
    <t>Clebinho Studio</t>
  </si>
  <si>
    <t>spotify:track:55X6DSZ3CEWeIQrVxMOR9h</t>
  </si>
  <si>
    <t>DJ KELVINHO DA ZS, Iraqui ZL</t>
  </si>
  <si>
    <t>Sobe Na Moto Roubadona</t>
  </si>
  <si>
    <t>Executivo Records/Arkham Fluxos</t>
  </si>
  <si>
    <t>spotify:track:1hESdOnr1bF7LHqvubefn4</t>
  </si>
  <si>
    <t>NandaTsunami, winx</t>
  </si>
  <si>
    <t>Pq Vc Não Me Liga?</t>
  </si>
  <si>
    <t>NandaTsunami</t>
  </si>
  <si>
    <t>spotify:track:3fWibgdtgIie6LKTZ2rUoI</t>
  </si>
  <si>
    <t>Pierce The Veil</t>
  </si>
  <si>
    <t>So Far So Fake</t>
  </si>
  <si>
    <t>Fearless Records</t>
  </si>
  <si>
    <t>spotify:track:3tHfEsbQsvAdGQ2CUFeEx0</t>
  </si>
  <si>
    <t>Venere Vai Venus</t>
  </si>
  <si>
    <t>Anjos</t>
  </si>
  <si>
    <t>48k Records</t>
  </si>
  <si>
    <t>spotify:track:77iE7LcAR6cmYOd19H0FsK</t>
  </si>
  <si>
    <t>Quarterhead, SESA</t>
  </si>
  <si>
    <t>You Will See</t>
  </si>
  <si>
    <t>Virgin</t>
  </si>
  <si>
    <t>spotify:track:7Ff0mR8ETS2QpL20dirwmj</t>
  </si>
  <si>
    <t>DJ PH DE CAMPOS</t>
  </si>
  <si>
    <t>SEM FRESCURA SEM PIRRACA, SEM MIMIMI</t>
  </si>
  <si>
    <t>7523965 Records DK</t>
  </si>
  <si>
    <t>spotify:track:6mLPEdGqvEtQ3gKZ7lQAX1</t>
  </si>
  <si>
    <t>NandaTsunami, AnjO 005, Agostinhx, sONTH</t>
  </si>
  <si>
    <t>Pisca Duas Vezes</t>
  </si>
  <si>
    <t>spotify:track:5Raqxm1zg9Kd5gm9MXiRw5</t>
  </si>
  <si>
    <t>Dornelles, Christopher Luz, ZUMBICORE, Jonas kaik, Kalef Castro</t>
  </si>
  <si>
    <t>Putífero Pro Max</t>
  </si>
  <si>
    <t>Dornelles</t>
  </si>
  <si>
    <t>spotify:track:3RDv5uDgHJS8wBdPkoCXUF</t>
  </si>
  <si>
    <t>2ZDinizz, Leborato, HHR</t>
  </si>
  <si>
    <t>Beatriz</t>
  </si>
  <si>
    <t>HHR Records</t>
  </si>
  <si>
    <t>spotify:track:2SsY5k7UWFqgye3PUMG3Oq</t>
  </si>
  <si>
    <t>Chappell Roan</t>
  </si>
  <si>
    <t>The Subway</t>
  </si>
  <si>
    <t>Chappell Roan PS/ Island</t>
  </si>
  <si>
    <t>spotify:track:7qM2ScAqB3NwAk0ngJsGfl</t>
  </si>
  <si>
    <t>Chico Chico</t>
  </si>
  <si>
    <t>Menino Bonito - Ao Vivo</t>
  </si>
  <si>
    <t>Deck</t>
  </si>
  <si>
    <t>SoundMusic</t>
  </si>
  <si>
    <t>spotify:track:7HUWoDzKA6KSBGxQmjNNR8</t>
  </si>
  <si>
    <t>Maria Marçal</t>
  </si>
  <si>
    <t>Cura - Ao Vivo em Salvador</t>
  </si>
  <si>
    <t>spotify:track:31X6ihiAWsNnKRky0R8532</t>
  </si>
  <si>
    <t>Alee, Filipe Ret, Qualywav1</t>
  </si>
  <si>
    <t>TUDO DE NOVO</t>
  </si>
  <si>
    <t>spotify:track:3LyO1qZxiTIgkiXNy9Iauo</t>
  </si>
  <si>
    <t>Circo</t>
  </si>
  <si>
    <t>Independent</t>
  </si>
  <si>
    <t>spotify:track:3kpWSH8AGR9MkGinPA4XDJ</t>
  </si>
  <si>
    <t>Get Worship, Melk Villar, Vinicius Cruz, Get Global</t>
  </si>
  <si>
    <t>Um Novo Dia</t>
  </si>
  <si>
    <t>Get Records</t>
  </si>
  <si>
    <t>spotify:track:2kap2PwtaXA1OeDBlNw5wZ</t>
  </si>
  <si>
    <t>Jhow, MC Makauli, GP DA ZL</t>
  </si>
  <si>
    <t>Tipo Insta do Buzeira</t>
  </si>
  <si>
    <t>Nine Music</t>
  </si>
  <si>
    <t>spotify:track:3WC5FPpPuiU8eauNnyY8dK</t>
  </si>
  <si>
    <t>Ebony</t>
  </si>
  <si>
    <t>Extraordinária</t>
  </si>
  <si>
    <t>spotify:track:5gLmMNEvDcl0Kb1EX8b69m</t>
  </si>
  <si>
    <t>Alee, MC Cabelinho, Qualywav1</t>
  </si>
  <si>
    <t>LUZ, CAMA E AÇÃO</t>
  </si>
  <si>
    <t>spotify:track:7yHRmaBkHKXKJmS1xMzicZ</t>
  </si>
  <si>
    <t>Teddybears, Iggy Pop</t>
  </si>
  <si>
    <t>Punkrocker (feat. Iggy Pop) - As featured in Superman</t>
  </si>
  <si>
    <t>spotify:track:0D8mEHdvyM9NmB9ZfbwUGq</t>
  </si>
  <si>
    <t>NandaTsunami, Cassiano Franco, Proditeogovernate</t>
  </si>
  <si>
    <t>Segredo e Feitiço</t>
  </si>
  <si>
    <t>spotify:track:7K6KRwyvE0plDEzxrVmCon</t>
  </si>
  <si>
    <t>The Five Stairsteps</t>
  </si>
  <si>
    <t>Come Back - Buddha Remastered 2001</t>
  </si>
  <si>
    <t>Buddha Records</t>
  </si>
  <si>
    <t>LP Record's</t>
  </si>
  <si>
    <t>spotify:track:3cZajhyr8LmtPfHZ9296tj</t>
  </si>
  <si>
    <t>Disco Lines, Tinashe</t>
  </si>
  <si>
    <t>No Broke Boys</t>
  </si>
  <si>
    <t>Nice Life/Atlantic</t>
  </si>
  <si>
    <t>spotify:track:2JPUWy2eF9A37m5Zk8x9MK</t>
  </si>
  <si>
    <t>Raphaela Santos</t>
  </si>
  <si>
    <t>Foi Logo Amor</t>
  </si>
  <si>
    <t>Banda A Favorita</t>
  </si>
  <si>
    <t>spotify:track:31CsSZ9KlQmEu0JvWSkM3j</t>
  </si>
  <si>
    <t>NAPA</t>
  </si>
  <si>
    <t>Deslocado</t>
  </si>
  <si>
    <t>spotify:track:1GfJCWGLfdev016PSsrUO8</t>
  </si>
  <si>
    <t>oskar med k</t>
  </si>
  <si>
    <t>Make Me Feel</t>
  </si>
  <si>
    <t>7CULT powered by PULSE.CX</t>
  </si>
  <si>
    <t>spotify:track:4sMR8fuTzbUyzB0asxifV0</t>
  </si>
  <si>
    <t>Ian Asher, Olly Alexander (Years &amp; Years)</t>
  </si>
  <si>
    <t>Desire</t>
  </si>
  <si>
    <t>Easier Said</t>
  </si>
  <si>
    <t>spotify:track:2bcvooA6HEmVUneEGJnNZD</t>
  </si>
  <si>
    <t>Jeff Buckley</t>
  </si>
  <si>
    <t>Everybody Here Wants You</t>
  </si>
  <si>
    <t>Columbia/Legacy</t>
  </si>
  <si>
    <t>spotify:track:5JOqMN734zqcTt5k5drwfj</t>
  </si>
  <si>
    <t>O Muriel</t>
  </si>
  <si>
    <t>Búfalo do Marajó</t>
  </si>
  <si>
    <t>Terra Gravadora</t>
  </si>
  <si>
    <t>spotify:track:5OsHak3nnpM0Bk9rpp75bz</t>
  </si>
  <si>
    <t>Nêgo Jhá</t>
  </si>
  <si>
    <t>Date</t>
  </si>
  <si>
    <t>Nêgo Jhá©</t>
  </si>
  <si>
    <t>spotify:track:2r2vr5ujMEZN9hJzwwc6Jk</t>
  </si>
  <si>
    <t>KHAOS, Jmilton</t>
  </si>
  <si>
    <t>Montagem Supersonic</t>
  </si>
  <si>
    <t>KHAOS</t>
  </si>
  <si>
    <t>spotify:track:6Jv7kjGkhY2fT4yuBF3aTz</t>
  </si>
  <si>
    <t>Lover, You Should've Come Over</t>
  </si>
  <si>
    <t>spotify:track:4qyVAQ48eLtiq8YqjppYLh</t>
  </si>
  <si>
    <t>MC PQD, DJ Vinicinho da Penha</t>
  </si>
  <si>
    <t>Olha Quem Tá Passando Ph</t>
  </si>
  <si>
    <t>MC PQD</t>
  </si>
  <si>
    <t>spotify:track:4eTKRobR6jVeoUQR5JAr9Y</t>
  </si>
  <si>
    <t>Som de Faculdade</t>
  </si>
  <si>
    <t>Havaianas</t>
  </si>
  <si>
    <t>MVPHits</t>
  </si>
  <si>
    <t>spotify:track:5R9FQXymzyhxjAYAkdbq5Q</t>
  </si>
  <si>
    <t>sma$her, MXZI</t>
  </si>
  <si>
    <t>ACELERADA</t>
  </si>
  <si>
    <t>Tribal Trap</t>
  </si>
  <si>
    <t>spotify:track:5DxDLsW6PsLz5gkwC7Mk5S</t>
  </si>
  <si>
    <t>Rumi, Jinu, EJAE, Andrew Choi, KPop Demon Hunters Cast</t>
  </si>
  <si>
    <t>Free</t>
  </si>
  <si>
    <t>spotify:track:7vSfAfikeoG0syrNHAheIl</t>
  </si>
  <si>
    <t>Jeninho, Jenner Melo, Marcelinx</t>
  </si>
  <si>
    <t>Maria Barretão</t>
  </si>
  <si>
    <t>Beat Music</t>
  </si>
  <si>
    <t>spotify:track:3MKhTroJs5GF9H7LqN9fiw</t>
  </si>
  <si>
    <t>Marino</t>
  </si>
  <si>
    <t>Devil in Disguise</t>
  </si>
  <si>
    <t>broke</t>
  </si>
  <si>
    <t>Conan Gray</t>
  </si>
  <si>
    <t>Republic Records</t>
  </si>
  <si>
    <t>spotify:track:7aOv4uSAmiB9XKnkibqSdo</t>
  </si>
  <si>
    <t>cjnobeat, Mc Morena, Mc Gw</t>
  </si>
  <si>
    <t>Até Quebrar a Cama 2.0</t>
  </si>
  <si>
    <t>cjnobeat</t>
  </si>
  <si>
    <t>12 to 12</t>
  </si>
  <si>
    <t>spotify:track:6XX6DTK8eugxgZqmlwcvkG</t>
  </si>
  <si>
    <t>DJ Ryder, Dj Dudu Coupper, Mc Gw</t>
  </si>
  <si>
    <t>Sequência da Botação</t>
  </si>
  <si>
    <t>DJ Ryder</t>
  </si>
  <si>
    <t>spotify:track:4q8L1dolSG4FGfdVZLT0kD</t>
  </si>
  <si>
    <t>Felipe Rodrigues</t>
  </si>
  <si>
    <t>Melhor Lugar - Ao Vivo</t>
  </si>
  <si>
    <t>BRASAS</t>
  </si>
  <si>
    <t>spotify:track:4EgmDb4tXeICXOeVnfgd4u</t>
  </si>
  <si>
    <t>Mc Lindão, MC Menor MT, DJ JHOW BEATS</t>
  </si>
  <si>
    <t>FAZ 360 E SENTA</t>
  </si>
  <si>
    <t>WMD Distribuidora</t>
  </si>
  <si>
    <t>spotify:track:1I37Zz2g3hk9eWxaNkj031</t>
  </si>
  <si>
    <t>Saja Boys, Andrew Choi, Neckwav, Danny Chung, KEVIN WOO, samUIL Lee, KPop Demon Hunters Cast</t>
  </si>
  <si>
    <t>Your Idol</t>
  </si>
  <si>
    <t>spotify:track:0hta2Lb2zKJ7kEnAEZEE3G</t>
  </si>
  <si>
    <t>wifiskeleton, i wanna be a jack-o-lantern</t>
  </si>
  <si>
    <t>Nope your too late i already died</t>
  </si>
  <si>
    <t>9th St. / Hallwood</t>
  </si>
  <si>
    <t>spotify:track:5HE0pAUxO6poQvNVtCFd06</t>
  </si>
  <si>
    <t>DJ CZ, DJ Katrip, Mc Rodrigo do CN, MC Nito</t>
  </si>
  <si>
    <t>Construção de Amor</t>
  </si>
  <si>
    <t>DJ CZ</t>
  </si>
  <si>
    <t>spotify:track:5W7OZVxOtnQsPVLOEUvu1G</t>
  </si>
  <si>
    <t>Yan, Sorriso Maroto</t>
  </si>
  <si>
    <t>Fica com Deus - Ao Vivo</t>
  </si>
  <si>
    <t>DJ Asul</t>
  </si>
  <si>
    <t>INTERTONE</t>
  </si>
  <si>
    <t>spotify:track:4bxyHku6rNffRealVxu30p</t>
  </si>
  <si>
    <t>Grupo Menos É Mais, NATTAN</t>
  </si>
  <si>
    <t>Pela Última Vez - Ao Vivo</t>
  </si>
  <si>
    <t>spotify:track:0qZwqMsGSClyrKzbVbRto9</t>
  </si>
  <si>
    <t>spotify:track:6ES4FEVuh4Fpj67wrFF8VC</t>
  </si>
  <si>
    <t>Tarde Demais / Mágica / Oh! Chuva - Ao Vivo</t>
  </si>
  <si>
    <t>spotify:track:7qjZnBKE73H4Oxkopwulqe</t>
  </si>
  <si>
    <t>spotify:track:11R7kD9Idac8aG1Uh5SQY3</t>
  </si>
  <si>
    <t>Todo Sol - Ao Vivo</t>
  </si>
  <si>
    <t>spotify:track:1IfGOnXoMBkiKC9xljlSfa</t>
  </si>
  <si>
    <t>Doja Cat</t>
  </si>
  <si>
    <t>Jealous Type</t>
  </si>
  <si>
    <t>Kemosabe Records/RCA Records</t>
  </si>
  <si>
    <t>SEM QUERER MUSIC</t>
  </si>
  <si>
    <t>Stray Kids</t>
  </si>
  <si>
    <t>CEREMONY</t>
  </si>
  <si>
    <t>Republic Records - Stray Kids</t>
  </si>
  <si>
    <t>spotify:track:0hSv3OWLsTtGWTRcAjKMbP</t>
  </si>
  <si>
    <t>40 Graus De Amor / A Carta / Fica - Ao Vivo</t>
  </si>
  <si>
    <t>spotify:track:3XqhtjiycwDxCpGqUFTtlW</t>
  </si>
  <si>
    <t>spotify:track:7obLUtc7Q3mXPt1LvHyE86</t>
  </si>
  <si>
    <t>Beijo Beija-Flor</t>
  </si>
  <si>
    <t>Sorriso Maroto, Ferrugem</t>
  </si>
  <si>
    <t>Ela - Ao Vivo</t>
  </si>
  <si>
    <t>Gamadinho</t>
  </si>
  <si>
    <t>Instinto - Ao Vivo</t>
  </si>
  <si>
    <t>spotify:track:4wrdKvEGtm1dJfcuiiRVBo</t>
  </si>
  <si>
    <t>Fernando &amp; Sorocaba, Murilo Huff</t>
  </si>
  <si>
    <t>Já Vai Sabendo - Ao Vivo</t>
  </si>
  <si>
    <t>F&amp;S Producoes Artisticas</t>
  </si>
  <si>
    <t>Worldshow Promoções e Eventos</t>
  </si>
  <si>
    <t>Feliz no Simples 🍀</t>
  </si>
  <si>
    <t>spotify:track:1Ep0VtPi8wo6Dv4eJEryfP</t>
  </si>
  <si>
    <t>Foi Mal Deus - Ao Vivo</t>
  </si>
  <si>
    <t>spotify:artist:2dIgFjalVxs4ThymZ67YCE</t>
  </si>
  <si>
    <t>spotify:artist:5cj0lLjcoR7YOSnhnX0Po5</t>
  </si>
  <si>
    <t>spotify:artist:583d9476xT4d6A0pADiRJg</t>
  </si>
  <si>
    <t>spotify:artist:7gfkYbxpguEc9bm6m8TpAr</t>
  </si>
  <si>
    <t>Chitãozinho &amp; Xororó</t>
  </si>
  <si>
    <t>Obrigado Deus</t>
  </si>
  <si>
    <t>Talita Mel</t>
  </si>
  <si>
    <t>Theuzinho</t>
  </si>
  <si>
    <t>Grupo Menos É Mais, Di Propósito, Vou Zuar</t>
  </si>
  <si>
    <t>Pot-Pourri: Melhor Eu Ir / Ligando Os Fatos / Sonho de Amor / Deixa Eu Te Querer - Ao Vivo</t>
  </si>
  <si>
    <t>spotify:track:2xTM0m9HD3gIqNSutA0LNJ</t>
  </si>
  <si>
    <t>Jorge &amp; Mateus, Henrique &amp; Juliano</t>
  </si>
  <si>
    <t>Xonei</t>
  </si>
  <si>
    <t>ACHOU QUE EU IA SER TROUXA - Ao Vivo</t>
  </si>
  <si>
    <t>spotify:track:6LsZx8Hv0GOGNinPva72nr</t>
  </si>
  <si>
    <t>cjnobeat, Felipe Amorim, Mc Rodrigo do CN</t>
  </si>
  <si>
    <t>Ela Quer Sentar Pros Maloka</t>
  </si>
  <si>
    <t>Voltável - Ao Vivo</t>
  </si>
  <si>
    <t>Triplex - Ao Vivo</t>
  </si>
  <si>
    <t>GR6 Music</t>
  </si>
  <si>
    <t>Radar Records</t>
  </si>
  <si>
    <t>spotify:track:7tI8dRuH2Yc6RuoTjxo4dU</t>
  </si>
  <si>
    <t>Jimin</t>
  </si>
  <si>
    <t>Who</t>
  </si>
  <si>
    <t>Thiaguinho, Billy SP</t>
  </si>
  <si>
    <t>Data Pico</t>
  </si>
  <si>
    <t>spotify:track:02sy7FAs8dkDNYsHp4Ul3f</t>
  </si>
  <si>
    <t>Soda Pop</t>
  </si>
  <si>
    <t>spotify:track:3RXUgPNIbUgFxsDWuBQEt6</t>
  </si>
  <si>
    <t>How It’s Done</t>
  </si>
  <si>
    <t>spotify:track:5sBDrrtLGbV64QJnEqfjer</t>
  </si>
  <si>
    <t>What It Sounds Like</t>
  </si>
  <si>
    <t>spotify:track:5BZsQlgw21vDOAjoqkNgKb</t>
  </si>
  <si>
    <t>DAISIES</t>
  </si>
  <si>
    <t>JRC Entertainment, LLC / ILH Production Co. LLC / Def Jam Recordings</t>
  </si>
  <si>
    <t>spotify:track:6dOtVTDdiauQNBQEDOtlAB</t>
  </si>
  <si>
    <t>BIRDS OF A FEATHER</t>
  </si>
  <si>
    <t>Darkroom/Interscope Records</t>
  </si>
  <si>
    <t>spotify:track:6iOndD4OFo7GkaDypWQIou</t>
  </si>
  <si>
    <t>W Sound, Beéle, Ovy On The Drums</t>
  </si>
  <si>
    <t>La Plena - W Sound 05</t>
  </si>
  <si>
    <t>WEA Latina</t>
  </si>
  <si>
    <t>spotify:track:0MHStU0muAIEMbwdnebYu2</t>
  </si>
  <si>
    <t>Takedown</t>
  </si>
  <si>
    <t>spotify:track:0TFTAtCYhp2tQ9KcJIZb55</t>
  </si>
  <si>
    <t>undressed</t>
  </si>
  <si>
    <t>spotify:track:4WFgvKVfEhb3IUAFGrutTR</t>
  </si>
  <si>
    <t>Ravyn Lenae</t>
  </si>
  <si>
    <t>Love Me Not</t>
  </si>
  <si>
    <t>Manchild</t>
  </si>
  <si>
    <t>Island Records</t>
  </si>
  <si>
    <t>spotify:track:4wJ5Qq0jBN4ajy7ouZIV1c</t>
  </si>
  <si>
    <t>ROSÉ, Bruno Mars</t>
  </si>
  <si>
    <t>APT.</t>
  </si>
  <si>
    <t>spotify:track:1D35BJlymlh6OLD75WupSF</t>
  </si>
  <si>
    <t>Tanishk Bagchi, Faheem Abdullah, Arslan Nizami, Irshad Kamil</t>
  </si>
  <si>
    <t>Saiyaara (From "Saiyaara")</t>
  </si>
  <si>
    <t>YRF Music</t>
  </si>
  <si>
    <t>spotify:track:6uiQ0DqbXTBc8tl0AUKZkR</t>
  </si>
  <si>
    <t>Rels B</t>
  </si>
  <si>
    <t>TU VAS SIN (fav)</t>
  </si>
  <si>
    <t>DALE PLAY Records / Flakk Team</t>
  </si>
  <si>
    <t>spotify:track:3hRV0jL3vUpRrcy398teAU</t>
  </si>
  <si>
    <t>Lord Huron</t>
  </si>
  <si>
    <t>The Night We Met</t>
  </si>
  <si>
    <t>Play It Again Sam</t>
  </si>
  <si>
    <t>spotify:track:21IYMdzTrzSe191Cy5eMap</t>
  </si>
  <si>
    <t>Gigi Perez</t>
  </si>
  <si>
    <t>Sailor Song</t>
  </si>
  <si>
    <t>Outtahere, LLC / Island Records</t>
  </si>
  <si>
    <t>spotify:track:0N6h5RnzCNJG3JfROXQIMQ</t>
  </si>
  <si>
    <t>Natanael Cano, Gabito Ballesteros</t>
  </si>
  <si>
    <t>Perlas Negras</t>
  </si>
  <si>
    <t>spotify:track:3QaPy1KgI7nu9FJEQUgn6h</t>
  </si>
  <si>
    <t>WILDFLOWER</t>
  </si>
  <si>
    <t>spotify:track:3sK8wGT43QFpWrvNQsrQya</t>
  </si>
  <si>
    <t>Bad Bunny</t>
  </si>
  <si>
    <t>DtMF</t>
  </si>
  <si>
    <t>Rimas Entertainment LLC.</t>
  </si>
  <si>
    <t>spotify:track:3AJwUDP919kvQ9QcozQPxg</t>
  </si>
  <si>
    <t>Yellow</t>
  </si>
  <si>
    <t>Parlophone UK</t>
  </si>
  <si>
    <t>spotify:track:6KfugJFINWqA42k59hmjFr</t>
  </si>
  <si>
    <t>Silet Open Up, Jacson Seran, Juan Reza, Diva Aurel</t>
  </si>
  <si>
    <t>TABOLA BALE</t>
  </si>
  <si>
    <t>SILET OPEN UP</t>
  </si>
  <si>
    <t>spotify:track:2lTm559tuIvatlT1u0JYG2</t>
  </si>
  <si>
    <t>BAILE INoLVIDABLE</t>
  </si>
  <si>
    <t>spotify:track:7koAf6aZgjO6TS7bipfPD0</t>
  </si>
  <si>
    <t>Ovy On The Drums, Quevedo, Beéle</t>
  </si>
  <si>
    <t>YO y TÚ</t>
  </si>
  <si>
    <t>spotify:track:2HRqTpkrJO5ggZyyK6NPWz</t>
  </si>
  <si>
    <t>Espresso</t>
  </si>
  <si>
    <t>spotify:track:3hpm0fTeSqlhJbnqAgaLZs</t>
  </si>
  <si>
    <t>Fuerza Regida</t>
  </si>
  <si>
    <t>Marlboro Rojo</t>
  </si>
  <si>
    <t>Rancho Humilde/Street Mob Records/Sony Music Latin</t>
  </si>
  <si>
    <t>spotify:track:7CyPwkp0oE8Ro9Dd5CUDjW</t>
  </si>
  <si>
    <t>The Weeknd, JENNIE, Lily-Rose Depp</t>
  </si>
  <si>
    <t>One Of The Girls (with JENNIE, Lily Rose Depp)</t>
  </si>
  <si>
    <t>XO / Republic Records</t>
  </si>
  <si>
    <t>spotify:track:6eLQXa6uk2EW8drsiKbABZ</t>
  </si>
  <si>
    <t>TU SANCHO</t>
  </si>
  <si>
    <t>spotify:track:7D0RhFcb3CrfPuTJ0obrod</t>
  </si>
  <si>
    <t>Sparks</t>
  </si>
  <si>
    <t>spotify:track:05od2qm2MTSKCHxy1GBp5W</t>
  </si>
  <si>
    <t>spotify:track:7ne4VBA60CxGM75vw0EYad</t>
  </si>
  <si>
    <t>Gracie Abrams</t>
  </si>
  <si>
    <t>That’s So True</t>
  </si>
  <si>
    <t>Gracie Abrams, under exclusive license to Interscope Records</t>
  </si>
  <si>
    <t>spotify:track:19GxfaRs5KdurzPKLVX3Cq</t>
  </si>
  <si>
    <t>TWICE</t>
  </si>
  <si>
    <t>TAKEDOWN (JEONGYEON, JIHYO, CHAEYOUNG) (from the Netflix film KPop Demon Hunters)</t>
  </si>
  <si>
    <t>Republic Records - TWICE</t>
  </si>
  <si>
    <t>Luis R Conriquez, Fuerza Regida, Neton Vega</t>
  </si>
  <si>
    <t>Chula Vente</t>
  </si>
  <si>
    <t>K Music/Sony Music Latin</t>
  </si>
  <si>
    <t>spotify:track:1HEwEN64NjgTaHmo7LfkX8</t>
  </si>
  <si>
    <t>Beéle</t>
  </si>
  <si>
    <t>no tiene sentido</t>
  </si>
  <si>
    <t>5020 Records</t>
  </si>
  <si>
    <t>spotify:track:0ofHAoxe9vBkTCp2UQIavz</t>
  </si>
  <si>
    <t>Fleetwood Mac</t>
  </si>
  <si>
    <t>Dreams - 2004 Remaster</t>
  </si>
  <si>
    <t>Rhino/Warner Records</t>
  </si>
  <si>
    <t>spotify:track:1JSTJqkT5qHq8MDJnJbRE1</t>
  </si>
  <si>
    <t>The Police</t>
  </si>
  <si>
    <t>Every Breath You Take</t>
  </si>
  <si>
    <t>Polydor Records</t>
  </si>
  <si>
    <t>spotify:track:5XeFesFbtLpXzIVDNQP22n</t>
  </si>
  <si>
    <t>I Wanna Be Yours</t>
  </si>
  <si>
    <t>Domino Recording Co</t>
  </si>
  <si>
    <t>spotify:track:3GCdLUSnKSMJhs4Tj6CV3s</t>
  </si>
  <si>
    <t>Kendrick Lamar, SZA</t>
  </si>
  <si>
    <t>All The Stars (with SZA) - From "Black Panther: The Album"</t>
  </si>
  <si>
    <t>Black Panther (TDE/DMG) PS</t>
  </si>
  <si>
    <t>spotify:track:70LcF31zb1H0PyJoS1Sx1r</t>
  </si>
  <si>
    <t>Radiohead</t>
  </si>
  <si>
    <t>Creep</t>
  </si>
  <si>
    <t>XL Recordings</t>
  </si>
  <si>
    <t>spotify:track:29iva9idM6rFCPUlu7Rhxl</t>
  </si>
  <si>
    <t>YUKON</t>
  </si>
  <si>
    <t>spotify:track:2yWlGEgEfPot0lv3OAjuG3</t>
  </si>
  <si>
    <t>Tate McRae, F1 The Album</t>
  </si>
  <si>
    <t>Just Keep Watching (From F1® The Movie)</t>
  </si>
  <si>
    <t>spotify:track:6393yGahSJ9slVdOwSxOVR</t>
  </si>
  <si>
    <t>Pink Pony Club</t>
  </si>
  <si>
    <t>spotify:track:0eLtIxPRNJfsmehITZ1qaJ</t>
  </si>
  <si>
    <t>Aditya Rikhari</t>
  </si>
  <si>
    <t>Sahiba</t>
  </si>
  <si>
    <t>T-Series</t>
  </si>
  <si>
    <t>spotify:track:56bPsRfOKla3bGGmVz1uk4</t>
  </si>
  <si>
    <t>Los Dareyes De La Sierra</t>
  </si>
  <si>
    <t>Frecuencia</t>
  </si>
  <si>
    <t>Double P Records</t>
  </si>
  <si>
    <t>spotify:track:1GfRjLG3DivFZEr85b6k7G</t>
  </si>
  <si>
    <t>spotify:track:0FIDCNYYjNvPVimz5icugS</t>
  </si>
  <si>
    <t>The Weeknd, Playboi Carti</t>
  </si>
  <si>
    <t>Timeless (feat Playboi Carti)</t>
  </si>
  <si>
    <t>spotify:track:0WbMK4wrZ1wFSty9F7FCgu</t>
  </si>
  <si>
    <t>Good Luck, Babe!</t>
  </si>
  <si>
    <t>spotify:track:5TFD2bmFKGhoCRbX61nXY5</t>
  </si>
  <si>
    <t>NUEVAYoL</t>
  </si>
  <si>
    <t>spotify:track:2ipIPsgrgd0j2beDf4Ki70</t>
  </si>
  <si>
    <t>Mystical Magical</t>
  </si>
  <si>
    <t>spotify:track:5ITV0zqzjOYfFWpW0xBmRa</t>
  </si>
  <si>
    <t>WizTheMc, bees &amp; honey</t>
  </si>
  <si>
    <t>Show Me Love</t>
  </si>
  <si>
    <t>Bamboo Artists</t>
  </si>
  <si>
    <t>spotify:track:35ISBknsCeZQtq66xABI9g</t>
  </si>
  <si>
    <t>Lola Young</t>
  </si>
  <si>
    <t>Messy</t>
  </si>
  <si>
    <t>Universal-Island Records Ltd.</t>
  </si>
  <si>
    <t>spotify:track:51ZQ1vr10ffzbwIjDCwqm4</t>
  </si>
  <si>
    <t>we can't be friends (wait for your love)</t>
  </si>
  <si>
    <t>spotify:track:2HRgqmZQC0MC7GeNuDIXHN</t>
  </si>
  <si>
    <t>Jung Kook, Latto</t>
  </si>
  <si>
    <t>Seven (feat. Latto) (Explicit Ver.)</t>
  </si>
  <si>
    <t>spotify:track:4DnrAI8WyUY6gkOwl8GlPN</t>
  </si>
  <si>
    <t>Alleh, Yorghaki</t>
  </si>
  <si>
    <t>capaz (merengueton)</t>
  </si>
  <si>
    <t>CONMUER LLC</t>
  </si>
  <si>
    <t>spotify:track:5EcG8eMMlwkHRVa4aTR1qd</t>
  </si>
  <si>
    <t>Breakin' Dishes</t>
  </si>
  <si>
    <t>Def Jam Recordings</t>
  </si>
  <si>
    <t>spotify:track:2fuYa3Lx06QQJAm0MjztKr</t>
  </si>
  <si>
    <t>Let Down</t>
  </si>
  <si>
    <t>spotify:track:1MPs1qa830QkHuyAOnaRqe</t>
  </si>
  <si>
    <t>Chino Pacas</t>
  </si>
  <si>
    <t>OJITOS MENTIROSOS</t>
  </si>
  <si>
    <t>Streetmob Records</t>
  </si>
  <si>
    <t>spotify:track:2CGNAOSuO1MEFCbBRgUzjd</t>
  </si>
  <si>
    <t>luther (with sza)</t>
  </si>
  <si>
    <t>pgLang, under exclusive license to Interscope Records</t>
  </si>
  <si>
    <t>spotify:track:2JPctdUgvkQSpnUdfROxvY</t>
  </si>
  <si>
    <t>Alemán, Neton Vega</t>
  </si>
  <si>
    <t>Te Quería Ver</t>
  </si>
  <si>
    <t>HOMEGROWN MAFIA S.A. DE C.V./Sony Music México-Latin</t>
  </si>
  <si>
    <t>spotify:track:3siwsiaEoU4Kuuc9WKMUy5</t>
  </si>
  <si>
    <t>The Marías</t>
  </si>
  <si>
    <t>No One Noticed</t>
  </si>
  <si>
    <t>spotify:track:1eunv1DeEi29UfAcVEoLTt</t>
  </si>
  <si>
    <t>Tito Double P</t>
  </si>
  <si>
    <t>POR SUS BESOS</t>
  </si>
  <si>
    <t>spotify:track:6xV7Be6XEvkSnighmh2Tzj</t>
  </si>
  <si>
    <t>Tyler, The Creator</t>
  </si>
  <si>
    <t>Sugar On My Tongue</t>
  </si>
  <si>
    <t>spotify:track:2BkTPMr1v6Fr6JJwc4V7R5</t>
  </si>
  <si>
    <t>Strategy (from the Netflix film KPop Demon Hunters)</t>
  </si>
  <si>
    <t>spotify:track:1j15Ar0qGDzIR0v3CQv3JL</t>
  </si>
  <si>
    <t>Gnarly</t>
  </si>
  <si>
    <t>spotify:track:1mea3bSkSGXuIRvnydlB5b</t>
  </si>
  <si>
    <t>Viva La Vida</t>
  </si>
  <si>
    <t>spotify:track:2mdrVnxEnPR6iFijakkxQS</t>
  </si>
  <si>
    <t>Young Cister, Kreamly</t>
  </si>
  <si>
    <t>QLOO*</t>
  </si>
  <si>
    <t>Sony Music Entertainment Chile S.A</t>
  </si>
  <si>
    <t>spotify:track:0fK7ie6XwGxQTIkpFoWkd1</t>
  </si>
  <si>
    <t>JENNIE</t>
  </si>
  <si>
    <t>like JENNIE</t>
  </si>
  <si>
    <t>OA Entertainment/Columbia</t>
  </si>
  <si>
    <t>spotify:track:7MXVkk9YMctZqd1Srtv4MB</t>
  </si>
  <si>
    <t>The Weeknd, Daft Punk</t>
  </si>
  <si>
    <t>Starboy</t>
  </si>
  <si>
    <t>Universal Republic Records</t>
  </si>
  <si>
    <t>spotify:track:2WQ09wqQBIOor7Q0VpIDBK</t>
  </si>
  <si>
    <t>Black Eyed Peas</t>
  </si>
  <si>
    <t>Rock That Body</t>
  </si>
  <si>
    <t>Interscope</t>
  </si>
  <si>
    <t>spotify:track:1C7NXX8UJ6pgNx8EkmyZDd</t>
  </si>
  <si>
    <t>si te pillara</t>
  </si>
  <si>
    <t>spotify:track:6J5kc12BW5HuP3d7C3vvx8</t>
  </si>
  <si>
    <t>EoO</t>
  </si>
  <si>
    <t>spotify:track:4Q0qVhFQa7j6jRKzo3HDmP</t>
  </si>
  <si>
    <t>Sapphire</t>
  </si>
  <si>
    <t>Gingerbread Man Records / Atlantic Records UK</t>
  </si>
  <si>
    <t>spotify:track:1qbmS6ep2hbBRaEZFpn7BX</t>
  </si>
  <si>
    <t>Olivia Dean</t>
  </si>
  <si>
    <t>Man I Need</t>
  </si>
  <si>
    <t>PLG - Capitol</t>
  </si>
  <si>
    <t>spotify:track:73scB4Q4fcOmnsBVZPmk32</t>
  </si>
  <si>
    <t>KAROL G</t>
  </si>
  <si>
    <t>Si Antes Te Hubiera Conocido</t>
  </si>
  <si>
    <t>Bichota/Interscope Records</t>
  </si>
  <si>
    <t>spotify:track:7qiZfU4dY1lWllzX7mPBI3</t>
  </si>
  <si>
    <t>Shape of You</t>
  </si>
  <si>
    <t>Atlantic Records UK</t>
  </si>
  <si>
    <t>spotify:track:0VjIjW4GlUZAMYd2vXMi3b</t>
  </si>
  <si>
    <t>Blinding Lights</t>
  </si>
  <si>
    <t>spotify:track:58ge6dfP91o9oXMzq3XkIS</t>
  </si>
  <si>
    <t>spotify:track:7jtQIBanIiJOMS6RyCx6jZ</t>
  </si>
  <si>
    <t>Tom Odell</t>
  </si>
  <si>
    <t>Another Love</t>
  </si>
  <si>
    <t>ITNO/Columbia</t>
  </si>
  <si>
    <t>spotify:track:0GRc3eGTg8HBdWLRGYgqIc</t>
  </si>
  <si>
    <t>Azizam</t>
  </si>
  <si>
    <t>spotify:track:75JFxkI2RXiU7L9VXzMkle</t>
  </si>
  <si>
    <t>The Scientist</t>
  </si>
  <si>
    <t>Parlophone Records Limited</t>
  </si>
  <si>
    <t>spotify:track:3hUxzQpSfdDqwM3ZTFQY0K</t>
  </si>
  <si>
    <t>august</t>
  </si>
  <si>
    <t>spotify:track:4oB8Xd7gMlUEtWoD8bmCXW</t>
  </si>
  <si>
    <t>Neton Vega, Peso Pluma</t>
  </si>
  <si>
    <t>Josa Records</t>
  </si>
  <si>
    <t>spotify:track:1BxfuPKGuaTgP7aM0Bbdwr</t>
  </si>
  <si>
    <t>Cruel Summer</t>
  </si>
  <si>
    <t>spotify:track:7J1uxwnxfQLu4APicE5Rnj</t>
  </si>
  <si>
    <t>Michael Jackson</t>
  </si>
  <si>
    <t>Billie Jean</t>
  </si>
  <si>
    <t>spotify:track:2uXlHCUbq9OMUwx3hrk06o</t>
  </si>
  <si>
    <t>Vance Joy</t>
  </si>
  <si>
    <t>Riptide</t>
  </si>
  <si>
    <t>spotify:track:0tgVpDi06FyKpA1z0VMD4v</t>
  </si>
  <si>
    <t>Perfect</t>
  </si>
  <si>
    <t>spotify:track:04emojnbYkrRmv5qtJcgVP</t>
  </si>
  <si>
    <t>Morgan Wallen, Tate McRae</t>
  </si>
  <si>
    <t>What I Want (feat. Tate McRae)</t>
  </si>
  <si>
    <t>Big Loud Records / Mercury Records / Republic Records</t>
  </si>
  <si>
    <t>spotify:track:1oAwsWBovWRIp7qLMGPIet</t>
  </si>
  <si>
    <t>Cigarettes After Sex</t>
  </si>
  <si>
    <t>Apocalypse</t>
  </si>
  <si>
    <t>Partisan Records</t>
  </si>
  <si>
    <t>spotify:track:5tlb0AxuzsMWL2GtEppXGX</t>
  </si>
  <si>
    <t>Cup of Joe</t>
  </si>
  <si>
    <t>Multo</t>
  </si>
  <si>
    <t>Viva Records</t>
  </si>
  <si>
    <t>spotify:track:7d6yK8v8J484SWH5prIQiE</t>
  </si>
  <si>
    <t>Bad Bunny, Omar Courtz, Dei V</t>
  </si>
  <si>
    <t>VeLDÁ</t>
  </si>
  <si>
    <t>spotify:track:0QCIpQV3twfqo9kh0t8Zza</t>
  </si>
  <si>
    <t>MOLIY, Silent Addy, Skillibeng, Shenseea</t>
  </si>
  <si>
    <t>Shake It To The Max (FLY) - Remix</t>
  </si>
  <si>
    <t>WONDERGIRL LLC</t>
  </si>
  <si>
    <t>spotify:track:3rUGC1vUpkDG9CZFHMur1t</t>
  </si>
  <si>
    <t>Tate McRae</t>
  </si>
  <si>
    <t>greedy</t>
  </si>
  <si>
    <t>RCA Records Label</t>
  </si>
  <si>
    <t>spotify:track:5IZXB5IKAD2qlvTPJYDCFB</t>
  </si>
  <si>
    <t>Post Malone, Morgan Wallen</t>
  </si>
  <si>
    <t>I Had Some Help (Feat. Morgan Wallen)</t>
  </si>
  <si>
    <t>Mercury Records / Republic Records</t>
  </si>
  <si>
    <t>spotify:track:6wHpLMmp98aHcV8L1JFrj8</t>
  </si>
  <si>
    <t>Eternity</t>
  </si>
  <si>
    <t>spotify:track:2a1o6ZejUi8U3wzzOtCOYw</t>
  </si>
  <si>
    <t>Don Omar, Lucenzo</t>
  </si>
  <si>
    <t>Danza Kuduro</t>
  </si>
  <si>
    <t>UMLE - Machete</t>
  </si>
  <si>
    <t>spotify:track:19XpFsce28aByvCC4g89tJ</t>
  </si>
  <si>
    <t>Hozier</t>
  </si>
  <si>
    <t>Too Sweet</t>
  </si>
  <si>
    <t>Rubyworks / Universal-Island Records Ltd</t>
  </si>
  <si>
    <t>spotify:track:0ll8uFnc0nANY35E0Lfxvg</t>
  </si>
  <si>
    <t>Keane</t>
  </si>
  <si>
    <t>Somewhere Only We Know</t>
  </si>
  <si>
    <t>spotify:track:5qqabIl2vWzo9ApSC317sa</t>
  </si>
  <si>
    <t>Oasis</t>
  </si>
  <si>
    <t>Wonderwall - Remastered</t>
  </si>
  <si>
    <t>Big Brother</t>
  </si>
  <si>
    <t>spotify:track:0bxPRWprUVpQK0UFcddkrA</t>
  </si>
  <si>
    <t>Kehlani</t>
  </si>
  <si>
    <t>Folded</t>
  </si>
  <si>
    <t>TSNMI / Atlantic</t>
  </si>
  <si>
    <t>spotify:track:7BqBn9nzAq8spo5e7cZ0dJ</t>
  </si>
  <si>
    <t>Just the Way You Are</t>
  </si>
  <si>
    <t>Elektra (NEK)</t>
  </si>
  <si>
    <t>spotify:track:5fZJQrFKWQLb7FpJXZ1g7K</t>
  </si>
  <si>
    <t>Shaboozey</t>
  </si>
  <si>
    <t>A Bar Song (Tipsy)</t>
  </si>
  <si>
    <t>American Dogwood / EMPIRE</t>
  </si>
  <si>
    <t>spotify:track:2GP6UzoA55p6yYiPCGyEhg</t>
  </si>
  <si>
    <t>Omar Camacho, Victor Mendivil</t>
  </si>
  <si>
    <t>2+2</t>
  </si>
  <si>
    <t>Rico o Muerto Music LLC</t>
  </si>
  <si>
    <t>spotify:track:78nx0HDJIFD5xDq2L5420Z</t>
  </si>
  <si>
    <t>Calvin Harris, Clementine Douglas</t>
  </si>
  <si>
    <t>Blessings</t>
  </si>
  <si>
    <t>spotify:track:0nafF9MxcXJBQWv3BTKtdF</t>
  </si>
  <si>
    <t>KAROL G, Feid</t>
  </si>
  <si>
    <t>Verano Rosa</t>
  </si>
  <si>
    <t>spotify:track:1PREzVLuDT6PSE9sej4wnV</t>
  </si>
  <si>
    <t>Fuerza Regida, Grupo Frontera</t>
  </si>
  <si>
    <t>COQUETA</t>
  </si>
  <si>
    <t>Rancho Humilde/Streetmob Records/Grupo Frontera/Sony Music Latin</t>
  </si>
  <si>
    <t>spotify:track:6RUKPb4LETWmmr3iAEQktW</t>
  </si>
  <si>
    <t>The Chainsmokers, Coldplay</t>
  </si>
  <si>
    <t>Something Just Like This</t>
  </si>
  <si>
    <t>Disruptor Records/Columbia</t>
  </si>
  <si>
    <t>spotify:track:2SkB7jADnfiWH8qAE9H8cO</t>
  </si>
  <si>
    <t>Xavi, Manuel Turizo</t>
  </si>
  <si>
    <t>En Privado</t>
  </si>
  <si>
    <t>spotify:track:0gucTLf7trAf37Ua1uAyAu</t>
  </si>
  <si>
    <t>Nirvana</t>
  </si>
  <si>
    <t>Smells Like Teen Spirit</t>
  </si>
  <si>
    <t>Geffen</t>
  </si>
  <si>
    <t>spotify:track:0d28khcov6AiegSCpG5TuT</t>
  </si>
  <si>
    <t>Gorillaz, De La Soul</t>
  </si>
  <si>
    <t>Feel Good Inc.</t>
  </si>
  <si>
    <t>spotify:track:2esZG2XFtuoWWA9AfDvSxy</t>
  </si>
  <si>
    <t>FloyyMenor, Cris MJ</t>
  </si>
  <si>
    <t>Gata Only</t>
  </si>
  <si>
    <t>FloyyMenor under exclusive license to UnitedMasters LLC</t>
  </si>
  <si>
    <t>spotify:track:5G2f63n7IPVPPjfNIGih7Q</t>
  </si>
  <si>
    <t>Taste</t>
  </si>
  <si>
    <t>spotify:track:7585wxMp2e3IhBq3tJAXgw</t>
  </si>
  <si>
    <t>Calle 24</t>
  </si>
  <si>
    <t>SUIZA</t>
  </si>
  <si>
    <t>spotify:track:5g7sDjBhZ4I3gcFIpkrLuI</t>
  </si>
  <si>
    <t>Locked out of Heaven</t>
  </si>
  <si>
    <t>spotify:track:7KA4W4McWYRpgf0fWsJZWB</t>
  </si>
  <si>
    <t>Tyler, The Creator, Kali Uchis</t>
  </si>
  <si>
    <t>See You Again (feat. Kali Uchis)</t>
  </si>
  <si>
    <t>spotify:track:5FMyXeZ0reYloRTiCkPprT</t>
  </si>
  <si>
    <t>Drake, Central Cee</t>
  </si>
  <si>
    <t>Which One (feat. Central Cee)</t>
  </si>
  <si>
    <t>OVO/Republic</t>
  </si>
  <si>
    <t>spotify:track:1QV6tiMFM6fSOKOGLMHYYg</t>
  </si>
  <si>
    <t>Poker Face</t>
  </si>
  <si>
    <t>Streamline/Interscope</t>
  </si>
  <si>
    <t>spotify:track:2RdEC8Ff83WkX7kDVCHseE</t>
  </si>
  <si>
    <t>Charli xcx</t>
  </si>
  <si>
    <t>party 4 u</t>
  </si>
  <si>
    <t>spotify:track:1zu5ZpnrSArdoaT6Qq3yo9</t>
  </si>
  <si>
    <t>Pamungkas</t>
  </si>
  <si>
    <t>Monolog</t>
  </si>
  <si>
    <t>Maspam Company Ltd.</t>
  </si>
  <si>
    <t>spotify:track:4zhk2RS2EZODmBW6il55Qj</t>
  </si>
  <si>
    <t>Beéle, Ovy On The Drums</t>
  </si>
  <si>
    <t>mi refe</t>
  </si>
  <si>
    <t>spotify:track:2tpWsVSb9UEmDRxAl1zhX1</t>
  </si>
  <si>
    <t>OneRepublic</t>
  </si>
  <si>
    <t>Counting Stars</t>
  </si>
  <si>
    <t>Mosley / Interscope</t>
  </si>
  <si>
    <t>spotify:track:003vvx7Niy0yvhvHt4a68B</t>
  </si>
  <si>
    <t>The Killers</t>
  </si>
  <si>
    <t>Mr. Brightside</t>
  </si>
  <si>
    <t>spotify:track:2nLtzopw4rPReszdYBJU6h</t>
  </si>
  <si>
    <t>Numb</t>
  </si>
  <si>
    <t>spotify:track:59D4DOkspUbWyMmbAPQkxZ</t>
  </si>
  <si>
    <t>VOY A LLeVARTE PA PR</t>
  </si>
  <si>
    <t>spotify:track:3qhlB30KknSejmIvZZLjOD</t>
  </si>
  <si>
    <t>Djo</t>
  </si>
  <si>
    <t>End of Beginning</t>
  </si>
  <si>
    <t>spotify:track:2tHwzyyOLoWSFqYNjeVMzj</t>
  </si>
  <si>
    <t>Please Please Please</t>
  </si>
  <si>
    <t>spotify:track:5RKQ5NdjSh2QzD4MaunT91</t>
  </si>
  <si>
    <t>Journey</t>
  </si>
  <si>
    <t>Don't Stop Believin' (2022 Remaster)</t>
  </si>
  <si>
    <t>spotify:track:0KKkJNfGyhkQ5aFogxQAPU</t>
  </si>
  <si>
    <t>That's What I Like</t>
  </si>
  <si>
    <t>spotify:track:6ifUES3keWjwXgae8pXI3o</t>
  </si>
  <si>
    <t>Danny Ocean</t>
  </si>
  <si>
    <t>Me Rehúso</t>
  </si>
  <si>
    <t>spotify:track:5UJbgR4XF4y1DvbkxEqe8S</t>
  </si>
  <si>
    <t>Sports car</t>
  </si>
  <si>
    <t>spotify:track:6aJn7Cst74cj4lNIiPRgav</t>
  </si>
  <si>
    <t>Touch</t>
  </si>
  <si>
    <t>spotify:track:6AI3ezQ4o3HUoP6Dhudph3</t>
  </si>
  <si>
    <t>Kendrick Lamar</t>
  </si>
  <si>
    <t>Not Like Us</t>
  </si>
  <si>
    <t>Kendrick Lamar, under exclusive license to Interscope Records</t>
  </si>
  <si>
    <t>spotify:track:3p4hRhMcb6ch8OLtATMaLw</t>
  </si>
  <si>
    <t>Cry</t>
  </si>
  <si>
    <t>spotify:track:2LHNTC9QZxsL3nWpt8iaSR</t>
  </si>
  <si>
    <t>Abracadabra</t>
  </si>
  <si>
    <t>spotify:track:7G7mSV4BebkoHWwKTDvXu9</t>
  </si>
  <si>
    <t>V, Park Hyo Shin</t>
  </si>
  <si>
    <t>Winter Ahead (with PARK HYO SHIN)</t>
  </si>
  <si>
    <t>BMG Rights Management (US) LLC</t>
  </si>
  <si>
    <t>spotify:track:0COqiPhxzoWICwFCS4eZcp</t>
  </si>
  <si>
    <t>Evanescence</t>
  </si>
  <si>
    <t>Bring Me To Life</t>
  </si>
  <si>
    <t>The Bicycle Music Company</t>
  </si>
  <si>
    <t>spotify:track:0dS2u2UFd88TIzDDaZDLvS</t>
  </si>
  <si>
    <t>d4vd</t>
  </si>
  <si>
    <t>Here With Me</t>
  </si>
  <si>
    <t>spotify:track:1XBYiRV30ykHw5f4wm6qEn</t>
  </si>
  <si>
    <t>The Kid LAROI</t>
  </si>
  <si>
    <t>NIGHTS LIKE THIS</t>
  </si>
  <si>
    <t>spotify:track:7snQQk1zcKl8gZ92AnueZW</t>
  </si>
  <si>
    <t>Guns N' Roses</t>
  </si>
  <si>
    <t>Sweet Child O' Mine</t>
  </si>
  <si>
    <t>Guns N Roses P&amp;D</t>
  </si>
  <si>
    <t>spotify:track:1zi7xx7UVEFkmKfv06H8x0</t>
  </si>
  <si>
    <t>Drake, Wizkid, Kyla</t>
  </si>
  <si>
    <t>One Dance</t>
  </si>
  <si>
    <t>Cash Money Records/Young Money Ent./Universal Rec.</t>
  </si>
  <si>
    <t>spotify:track:2LBqCSwhJGcFQeTHMVGwy3</t>
  </si>
  <si>
    <t>Die For You</t>
  </si>
  <si>
    <t>spotify:track:5cF0dROlMOK5uNZtivgu50</t>
  </si>
  <si>
    <t>Charlie Puth</t>
  </si>
  <si>
    <t>Attention</t>
  </si>
  <si>
    <t>Artist Partner</t>
  </si>
  <si>
    <t>ATLXS</t>
  </si>
  <si>
    <t>OVO Sound</t>
  </si>
  <si>
    <t>spotify:track:1a7onn7lPqqRWul5ogyMyX</t>
  </si>
  <si>
    <t>ANSIEDAD</t>
  </si>
  <si>
    <t>spotify:track:1RwVkonL4anIGeNZo0OPp1</t>
  </si>
  <si>
    <t>BLOK3</t>
  </si>
  <si>
    <t>git</t>
  </si>
  <si>
    <t>Mundo Music</t>
  </si>
  <si>
    <t>spotify:track:43iIQbw5hx986dUEZbr3eN</t>
  </si>
  <si>
    <t>Laufey</t>
  </si>
  <si>
    <t>From The Start</t>
  </si>
  <si>
    <t>spotify:track:0ql6fgz8qk0pAEKrGeSppJ</t>
  </si>
  <si>
    <t>Nadhif Basalamah</t>
  </si>
  <si>
    <t>bergema sampai selamanya</t>
  </si>
  <si>
    <t>After School</t>
  </si>
  <si>
    <t>.Feast</t>
  </si>
  <si>
    <t>Sun Eater</t>
  </si>
  <si>
    <t>spotify:track:0B7wvvmu9EISAwZnOpjhNI</t>
  </si>
  <si>
    <t>When I Was Your Man</t>
  </si>
  <si>
    <t>spotify:track:22skzmqfdWrjJylampe0kt</t>
  </si>
  <si>
    <t>Macklemore, Ryan Lewis, Macklemore &amp; Ryan Lewis, Ray Dalton</t>
  </si>
  <si>
    <t>Can't Hold Us (feat. Ray Dalton)</t>
  </si>
  <si>
    <t>Macklemore</t>
  </si>
  <si>
    <t>spotify:track:1UPB5rYJ0bzn6mNSoAHrZC</t>
  </si>
  <si>
    <t>NIKI</t>
  </si>
  <si>
    <t>You'll Be in My Heart</t>
  </si>
  <si>
    <t>88rising Music</t>
  </si>
  <si>
    <t>Interscope Records*</t>
  </si>
  <si>
    <t>Harry Styles</t>
  </si>
  <si>
    <t>As It Was</t>
  </si>
  <si>
    <t>spotify:track:7BKLCZ1jbUBVqRi2FVlTVw</t>
  </si>
  <si>
    <t>The Chainsmokers, Halsey</t>
  </si>
  <si>
    <t>Closer</t>
  </si>
  <si>
    <t>spotify:track:3E619cvUK3bgsm4xH9A34H</t>
  </si>
  <si>
    <t>Lover Girl</t>
  </si>
  <si>
    <t>Vingolf Recordings</t>
  </si>
  <si>
    <t>spotify:track:0lYBSQXN6rCTvUZvg9S0lU</t>
  </si>
  <si>
    <t>DJ Snake, Justin Bieber</t>
  </si>
  <si>
    <t>Let Me Love You</t>
  </si>
  <si>
    <t>DJ Snake Def Jam</t>
  </si>
  <si>
    <t>Katy Perry</t>
  </si>
  <si>
    <t>Capitol Records</t>
  </si>
  <si>
    <t>Believer</t>
  </si>
  <si>
    <t>Kid Ina Korner / Interscope</t>
  </si>
  <si>
    <t>spotify:track:2nMeu6UenVvwUktBCpLMK9</t>
  </si>
  <si>
    <t>Young And Beautiful</t>
  </si>
  <si>
    <t>spotify:artist:4q3ewBCX7sLwd24euuV69X</t>
  </si>
  <si>
    <t>spotify:artist:7mW7Tv7NvywKKXqafZo0Lc</t>
  </si>
  <si>
    <t>KPop Demon Hunters Cast</t>
  </si>
  <si>
    <t>spotify:artist:0ys2OFYzWYB5hRDLCsBqxt</t>
  </si>
  <si>
    <t>spotify:artist:4YRxDV8wJFPHPTeXepOstw</t>
  </si>
  <si>
    <t>Arijit Singh</t>
  </si>
  <si>
    <t>spotify:artist:0RMJOzHDhAKY1o2j0W0vxY</t>
  </si>
  <si>
    <t>EJAE</t>
  </si>
  <si>
    <t>spotify:artist:4oUHIQIBe0LHzYfvXNW4QM</t>
  </si>
  <si>
    <t>Morgan Wallen</t>
  </si>
  <si>
    <t>spotify:artist:7a0XAaPaK2aDSqa8p3QnC7</t>
  </si>
  <si>
    <t>spotify:artist:2yNNYQBChuox9A5Ka93BIn</t>
  </si>
  <si>
    <t>HUNTR/X</t>
  </si>
  <si>
    <t>spotify:artist:6U1dV7aL68N7Gb0Naq34V5</t>
  </si>
  <si>
    <t>REI AMI</t>
  </si>
  <si>
    <t>spotify:artist:0Wwji82sLA0Hcvtuak3omb</t>
  </si>
  <si>
    <t>AUDREY NUNA</t>
  </si>
  <si>
    <t>spotify:artist:1wRPtKGflJrBx9BmLsSwlU</t>
  </si>
  <si>
    <t>Pritam</t>
  </si>
  <si>
    <t>spotify:artist:790FomKkXshlbRYZFtlgla</t>
  </si>
  <si>
    <t>spotify:artist:2YZyLoL8N0Wb9xBt1NhZWg</t>
  </si>
  <si>
    <t>spotify:artist:1mcTU81TzQhprhouKaTkpq</t>
  </si>
  <si>
    <t>Rauw Alejandro</t>
  </si>
  <si>
    <t>spotify:artist:4G9NDjRyZFDlJKMRL8hx3S</t>
  </si>
  <si>
    <t>spotify:artist:6pV5zH2LzjOUHaAvENdMMa</t>
  </si>
  <si>
    <t>Neton Vega</t>
  </si>
  <si>
    <t>spotify:artist:5K4W6rqBFWDnAN6FQUkS6x</t>
  </si>
  <si>
    <t>Kanye West</t>
  </si>
  <si>
    <t>spotify:artist:12GqGscKJx3aE4t07u7eVZ</t>
  </si>
  <si>
    <t>Peso Pluma</t>
  </si>
  <si>
    <t>spotify:artist:7Gi6gjaWy3DxyilpF1a8Is</t>
  </si>
  <si>
    <t>Junior H</t>
  </si>
  <si>
    <t>spotify:artist:45dkTj5sMRSjrmBSBeiHym</t>
  </si>
  <si>
    <t>spotify:artist:7tYKF4w9nC0nq9CsPZTHyP</t>
  </si>
  <si>
    <t>SZA</t>
  </si>
  <si>
    <t>spotify:artist:2LRoIwlKmHjgvigdNGBHNo</t>
  </si>
  <si>
    <t>Feid</t>
  </si>
  <si>
    <t>spotify:artist:0elWFr7TW8piilVRYJUe4P</t>
  </si>
  <si>
    <t>Natanael Cano</t>
  </si>
  <si>
    <t>spotify:artist:1vyhD5VmyZ7KMfW5gqLgo5</t>
  </si>
  <si>
    <t>J Balvin</t>
  </si>
  <si>
    <t>spotify:artist:0oOet2f43PA68X5RxKobEy</t>
  </si>
  <si>
    <t>Shreya Ghoshal</t>
  </si>
  <si>
    <t>spotify:artist:4V8LLVI7PbaPR0K2TGSxFF</t>
  </si>
  <si>
    <t>spotify:artist:5eumcnUkdmGvkvcsx1WFNG</t>
  </si>
  <si>
    <t>spotify:artist:1RyvyyTE3xzB2ZywiAwp0i</t>
  </si>
  <si>
    <t>Future</t>
  </si>
  <si>
    <t>spotify:artist:246dkjvS1zLTtiykXe5h60</t>
  </si>
  <si>
    <t>Post Malone</t>
  </si>
  <si>
    <t>spotify:artist:7gW0r5CkdEUMm42w9XpyZO</t>
  </si>
  <si>
    <t>spotify:artist:2R21vXR83lH98kGeO99Y66</t>
  </si>
  <si>
    <t>Anuel AA</t>
  </si>
  <si>
    <t>spotify:artist:0fTSzq9jAh4c36UVb4V7CB</t>
  </si>
  <si>
    <t>spotify:artist:2hlmm7s2ICUX0LVIhVFlZQ</t>
  </si>
  <si>
    <t>Gunna</t>
  </si>
  <si>
    <t>spotify:artist:7iK8PXO48WeuP03g8YR51W</t>
  </si>
  <si>
    <t>Myke Towers</t>
  </si>
  <si>
    <t>spotify:artist:0EmeFodog0BfCgMzAIvKQp</t>
  </si>
  <si>
    <t>Shakira</t>
  </si>
  <si>
    <t>spotify:artist:40ZNYROS4zLfyyBSs2PGe2</t>
  </si>
  <si>
    <t>Zach Bryan</t>
  </si>
  <si>
    <t>spotify:artist:4zCH9qm4R2DADamUHMCa6O</t>
  </si>
  <si>
    <t>Anirudh Ravichander</t>
  </si>
  <si>
    <t>spotify:artist:1mYsTxnqsietFxj1OgoGbG</t>
  </si>
  <si>
    <t>A.R. Rahman</t>
  </si>
  <si>
    <t>spotify:artist:7JBaynR7JFeniONqbnn1U4</t>
  </si>
  <si>
    <t>Andrew Choi</t>
  </si>
  <si>
    <t>spotify:artist:6Ghvu1VvMGScGpOUJBAHNH</t>
  </si>
  <si>
    <t>Deftones</t>
  </si>
  <si>
    <t>spotify:artist:1McMsnEElThX1knmY4oliG</t>
  </si>
  <si>
    <t>Olivia Rodrigo</t>
  </si>
  <si>
    <t>spotify:artist:699OTQXzgjhIYAHMy9RyPD</t>
  </si>
  <si>
    <t>Playboi Carti</t>
  </si>
  <si>
    <t>spotify:artist:4VMYDCV2IEDYJArk749S6m</t>
  </si>
  <si>
    <t>Daddy Yankee</t>
  </si>
  <si>
    <t>spotify:artist:4Z8W4fKeB5YxbusRsdQVPb</t>
  </si>
  <si>
    <t>spotify:artist:3m5qlPf2OkihLz3dRYnkPA</t>
  </si>
  <si>
    <t>Ovy On The Drums</t>
  </si>
  <si>
    <t>spotify:artist:7GlBOeep6PqTfFi59PTUUN</t>
  </si>
  <si>
    <t>spotify:artist:22wbnEMDvgVIAGdFeek6ET</t>
  </si>
  <si>
    <t>spotify:artist:6DARBhWbfcS9E4yJzcliqQ</t>
  </si>
  <si>
    <t>Karan Aujla</t>
  </si>
  <si>
    <t>spotify:artist:6jJ0s89eD6GaHleKKya26X</t>
  </si>
  <si>
    <t>spotify:artist:1i8SpTcr7yvPOmcqrbnVXY</t>
  </si>
  <si>
    <t>Ozuna</t>
  </si>
  <si>
    <t>spotify:artist:3fMbdgg4jU18AjLCKBhRSm</t>
  </si>
  <si>
    <t>spotify:artist:08GQAI4eElDnROBrJRGE0X</t>
  </si>
  <si>
    <t>spotify:artist:5YqI7p8zYsOpKJtjxYdOce</t>
  </si>
  <si>
    <t>Victor Mendivil</t>
  </si>
  <si>
    <t>spotify:artist:2HPaUgqeutzr3jx5a9WyDV</t>
  </si>
  <si>
    <t>PARTYNEXTDOOR</t>
  </si>
  <si>
    <t>spotify:artist:6XkjpgcEsYab502Vr1bBeW</t>
  </si>
  <si>
    <t>Grupo Frontera</t>
  </si>
  <si>
    <t>spotify:artist:4MCBfE4596Uoi2O4DtmEMz</t>
  </si>
  <si>
    <t>Juice WRLD</t>
  </si>
  <si>
    <t>spotify:artist:0pePYDrJGk8gqMRbXrLJC8</t>
  </si>
  <si>
    <t>Luis R Conriquez</t>
  </si>
  <si>
    <t>spotify:artist:0TnOYISbd1XYRBk9myaseg</t>
  </si>
  <si>
    <t>Pitbull</t>
  </si>
  <si>
    <t>spotify:artist:66ihevNkSYNzRAl44dx6jJ</t>
  </si>
  <si>
    <t>Carín León</t>
  </si>
  <si>
    <t>spotify:artist:20wkVLutqVOYrc0kxFs7rA</t>
  </si>
  <si>
    <t>Daniel Caesar</t>
  </si>
  <si>
    <t>spotify:artist:1r4hJ1h58CWwUQe3MxPuau</t>
  </si>
  <si>
    <t>Maluma</t>
  </si>
  <si>
    <t>spotify:artist:33qOK5uJ8AR2xuQQAhHump</t>
  </si>
  <si>
    <t>spotify:artist:4Gso3d4CscCijv0lmajZWs</t>
  </si>
  <si>
    <t>Don Toliver</t>
  </si>
  <si>
    <t>spotify:artist:0iEtIxbK0KxaSlF7G42ZOp</t>
  </si>
  <si>
    <t>Metro Boomin</t>
  </si>
  <si>
    <t>spotify:artist:7n2Ycct7Beij7Dj7meI4X0</t>
  </si>
  <si>
    <t>spotify:artist:1VPmR4DJC1PlOtd0IADAO0</t>
  </si>
  <si>
    <t>$uicideboy$</t>
  </si>
  <si>
    <t>spotify:artist:3c0gDdb9lhnHGFtP4prQpn</t>
  </si>
  <si>
    <t>spotify:artist:2RYonYiVhhzBz82UFXOvEN</t>
  </si>
  <si>
    <t>KEVIN WOO</t>
  </si>
  <si>
    <t>spotify:artist:11pXvO7wYuzRWYONDOBd33</t>
  </si>
  <si>
    <t>Danny Chung</t>
  </si>
  <si>
    <t>spotify:artist:5bXNU0MAF2HSqyFPhYtscH</t>
  </si>
  <si>
    <t>Neckwav</t>
  </si>
  <si>
    <t>spotify:artist:1eDupbD9kIx8UaZlzcBG5r</t>
  </si>
  <si>
    <t>samUIL Lee</t>
  </si>
  <si>
    <t>spotify:artist:0BJ2EjOqcfgFvlZXNKrNbE</t>
  </si>
  <si>
    <t>Saja Boys</t>
  </si>
  <si>
    <t>spotify:artist:33ScadVnbm2X8kkUqOkC6Z</t>
  </si>
  <si>
    <t>Don Omar</t>
  </si>
  <si>
    <t>spotify:artist:2IMZYfNi21MGqxopj9fWx8</t>
  </si>
  <si>
    <t>spotify:artist:3l9G1G9MxH6DaRhwLklaf5</t>
  </si>
  <si>
    <t>Oscar Maydon</t>
  </si>
  <si>
    <t>spotify:artist:3WrFJ7ztbogyGnTHbHJFl2</t>
  </si>
  <si>
    <t>The Beatles</t>
  </si>
  <si>
    <t>spotify:artist:55Aa2cqylxrFIXC767Z865</t>
  </si>
  <si>
    <t>Lil Wayne</t>
  </si>
  <si>
    <t>spotify:artist:4AK6F7OLvEQ5QYCBNiQWHq</t>
  </si>
  <si>
    <t>One Direction</t>
  </si>
  <si>
    <t>spotify:artist:1QAJqy2dA3ihHBFIHRphZj</t>
  </si>
  <si>
    <t>spotify:artist:1mBydYMVBECdDmMfE2sEUO</t>
  </si>
  <si>
    <t>Sachin-Jigar</t>
  </si>
  <si>
    <t>spotify:artist:52iwsT98xCoGgiGntTiR7K</t>
  </si>
  <si>
    <t>Quevedo</t>
  </si>
  <si>
    <t>spotify:artist:6qxpnaukVayrQn6ViNvu9I</t>
  </si>
  <si>
    <t>BigXthaPlug</t>
  </si>
  <si>
    <t>spotify:artist:2sSGPbdZJkaSE2AbcGOACx</t>
  </si>
  <si>
    <t>spotify:artist:4dpARuHxo51G3z768sgnrY</t>
  </si>
  <si>
    <t>Adele</t>
  </si>
  <si>
    <t>spotify:artist:4tuJ0bMpJh08umKkEXKUI5</t>
  </si>
  <si>
    <t>spotify:artist:5f7VJjfbwm532GiveGC0ZK</t>
  </si>
  <si>
    <t>Lil Baby</t>
  </si>
  <si>
    <t>spotify:artist:718COspgdWOnwOFpJHRZHS</t>
  </si>
  <si>
    <t>Luke Combs</t>
  </si>
  <si>
    <t>spotify:artist:5lwmRuXgjX8xIwlnauTZIP</t>
  </si>
  <si>
    <t>Romeo Santos</t>
  </si>
  <si>
    <t>spotify:artist:41MozSoPIsD1dJM0CLPjZF</t>
  </si>
  <si>
    <t>spotify:artist:1URnnhqYAYcrqrcwql10ft</t>
  </si>
  <si>
    <t>21 Savage</t>
  </si>
  <si>
    <t>spotify:artist:5bSfBBCxY8QAk4Pifveisz</t>
  </si>
  <si>
    <t>La Arrolladora Banda El Limón De Rene Camacho</t>
  </si>
  <si>
    <t>spotify:artist:1dfeR4HaWDbWqFHLkxsg1d</t>
  </si>
  <si>
    <t>Queen</t>
  </si>
  <si>
    <t>spotify:artist:2h93pZq0e7k5yf4dywlkpM</t>
  </si>
  <si>
    <t>Frank Ocean</t>
  </si>
  <si>
    <t>spotify:artist:0Q8NcsJwoCbZOHHW63su5S</t>
  </si>
  <si>
    <t>Mora</t>
  </si>
  <si>
    <t>spotify:artist:5WUlDfRSoLAfcVSX1WnrxN</t>
  </si>
  <si>
    <t>Sia</t>
  </si>
  <si>
    <t>spotify:artist:1yxSLGMDHlW21z4YXirZDS</t>
  </si>
  <si>
    <t>spotify:artist:1TA5sGRlKUJXBN4ZyJuDIX</t>
  </si>
  <si>
    <t>Blessd</t>
  </si>
  <si>
    <t>spotify:artist:6Sbl0NT50roqWvy746MfVf</t>
  </si>
  <si>
    <t>Gabito Ballesteros</t>
  </si>
  <si>
    <t>spotify:artist:1Yj5Xey7kTwvZla8sqdsdE</t>
  </si>
  <si>
    <t>Cris MJ</t>
  </si>
  <si>
    <t>spotify:artist:2nszmSgqreHSdJA3zWPyrW</t>
  </si>
  <si>
    <t>Luis Miguel</t>
  </si>
  <si>
    <t>spotify:artist:3gBKY0y3dFFVRqicLnVZYz</t>
  </si>
  <si>
    <t>Alka Yagnik</t>
  </si>
  <si>
    <t>spotify:artist:4f7KfxeHq9BiylGmyXepGt</t>
  </si>
  <si>
    <t>Tanishk Bagchi</t>
  </si>
  <si>
    <t>spotify:artist:15UsOTVnJzReFVN1VCnxy4</t>
  </si>
  <si>
    <t>XXXTENTACION</t>
  </si>
  <si>
    <t>spotify:artist:2fMqTqiTxUDlmcOEPaQSsx</t>
  </si>
  <si>
    <t>Amitabh Bhattacharya</t>
  </si>
  <si>
    <t>spotify:artist:2DaxqgrOhkeH0fpeiQq2f4</t>
  </si>
  <si>
    <t>spotify:artist:70B80Lwx2sxti0M1Ng9e8K</t>
  </si>
  <si>
    <t>Udit Narayan</t>
  </si>
  <si>
    <t>spotify:artist:3E12tRURRvPfHz0hAMCFYc</t>
  </si>
  <si>
    <t>Omar Courtz</t>
  </si>
  <si>
    <t>spotify:artist:3GdSQUH1BRtl9UrrtuwJlP</t>
  </si>
  <si>
    <t>Irshad Kamil</t>
  </si>
  <si>
    <t>spotify:artist:7n2wHs1TKAczGzO7Dd2rGr</t>
  </si>
  <si>
    <t>Shawn Mendes</t>
  </si>
  <si>
    <t>spotify:artist:3YQKmKGau1PzlVlkL1iodx</t>
  </si>
  <si>
    <t>Twenty One Pilots</t>
  </si>
  <si>
    <t>spotify:artist:77SW9BnxLY8rJ0RciFqkHh</t>
  </si>
  <si>
    <t>spotify:artist:0tmwSHipWxN12fsoLcFU3B</t>
  </si>
  <si>
    <t>Manuel Turizo</t>
  </si>
  <si>
    <t>spotify:artist:1U1el3k54VvEUzo3ybLPlM</t>
  </si>
  <si>
    <t>Kali Uchis</t>
  </si>
  <si>
    <t>spotify:artist:2FXC3k01G6Gw61bmprjgqS</t>
  </si>
  <si>
    <t>spotify:artist:7wlFDEWiM5OoIAt8RSli8b</t>
  </si>
  <si>
    <t>YoungBoy Never Broke Again</t>
  </si>
  <si>
    <t>spotify:artist:5H1nN1SzW0qNeUEZvuXjAj</t>
  </si>
  <si>
    <t>spotify:artist:4YLtscXsxbVgi031ovDDdh</t>
  </si>
  <si>
    <t>Chris Stapleton</t>
  </si>
  <si>
    <t>spotify:artist:0GOx72r5AAEKRGQFn3xqXK</t>
  </si>
  <si>
    <t>GIMS</t>
  </si>
  <si>
    <t>spotify:artist:2ye2Wgw4gimLv2eAKyk1NB</t>
  </si>
  <si>
    <t>Metallica</t>
  </si>
  <si>
    <t>spotify:artist:250b0Wlc5Vk0CoUsaCY84M</t>
  </si>
  <si>
    <t>spotify:artist:25uiPmTg16RbhZWAqwLBy5</t>
  </si>
  <si>
    <t>spotify:artist:4Uc8Dsxct0oMqx0P6i60ea</t>
  </si>
  <si>
    <t>spotify:artist:13ubrt8QOOCPljQ2FL1Kca</t>
  </si>
  <si>
    <t>A$AP Rocky</t>
  </si>
  <si>
    <t>spotify:artist:5YGY8feqx7naU7z4HrwZM6</t>
  </si>
  <si>
    <t>Miley Cyrus</t>
  </si>
  <si>
    <t>spotify:artist:1ZMJSCQw8DIefcLb1FIpY0</t>
  </si>
  <si>
    <t>spotify:artist:6l3HvQ5sa6mXTsMTB19rO5</t>
  </si>
  <si>
    <t>J. Cole</t>
  </si>
  <si>
    <t>spotify:artist:6Mv8GjQa7LKUGCAqa9qqdb</t>
  </si>
  <si>
    <t>Vishal-Shekhar</t>
  </si>
  <si>
    <t>spotify:artist:7oPftvlwr6VrsViSDV7fJY</t>
  </si>
  <si>
    <t>Green Day</t>
  </si>
  <si>
    <t>spotify:artist:711MCceyCBcFnzjGY4Q7Un</t>
  </si>
  <si>
    <t>AC/DC</t>
  </si>
  <si>
    <t>spotify:artist:1bfl0AU8SqmLkElptOprhC</t>
  </si>
  <si>
    <t>Julión Álvarez y su Norteño Banda</t>
  </si>
  <si>
    <t>spotify:artist:00x1fYSGhdqScXBRpSj3DW</t>
  </si>
  <si>
    <t>spotify:artist:6olE6TJLqED3rqDCT0FyPh</t>
  </si>
  <si>
    <t>spotify:artist:5Pwc4xIPtQLFEnJriah9YJ</t>
  </si>
  <si>
    <t>spotify:artist:4aXXDj9aZnlshx7mzj3W1N</t>
  </si>
  <si>
    <t>Lin-Manuel Miranda</t>
  </si>
  <si>
    <t>spotify:artist:3q7HBObVc0L8jNeTe5Gofh</t>
  </si>
  <si>
    <t>50 Cent</t>
  </si>
  <si>
    <t>spotify:artist:6KImCVD70vtIoJWnq6nGn3</t>
  </si>
  <si>
    <t>spotify:artist:2kCcBybjl3SAtIcwdWpUe3</t>
  </si>
  <si>
    <t>Lil Peep</t>
  </si>
  <si>
    <t>spotify:artist:64KEffDW9EtZ1y2vBYgq8T</t>
  </si>
  <si>
    <t>Marshmello</t>
  </si>
  <si>
    <t>spotify:artist:3nqS8jzqmsPKFJTp0BOIel</t>
  </si>
  <si>
    <t>Ikky</t>
  </si>
  <si>
    <t>spotify:artist:0LcJLqbBmaGUft1e9Mm8HV</t>
  </si>
  <si>
    <t>ABBA</t>
  </si>
  <si>
    <t>spotify:artist:1GMwSpFzrLd12jUX15bHB6</t>
  </si>
  <si>
    <t>spotify:artist:2wY79sveU1sp5g7SokKOiI</t>
  </si>
  <si>
    <t>Sam Smith</t>
  </si>
  <si>
    <t>spotify:artist:51kyrUsAVqUBcoDEMFkX12</t>
  </si>
  <si>
    <t>Hindia</t>
  </si>
  <si>
    <t>spotify:artist:0hCNtLu0JehylgoiP8L4Gh</t>
  </si>
  <si>
    <t>Nicki Minaj</t>
  </si>
  <si>
    <t>spotify:artist:3PhoLpVuITZKcymswpck5b</t>
  </si>
  <si>
    <t>Elton John</t>
  </si>
  <si>
    <t>spotify:artist:329e4yvIujISKGKz1BZZbO</t>
  </si>
  <si>
    <t>Farruko</t>
  </si>
  <si>
    <t>spotify:artist:26dSoYclwsYLMAKD3tpOr4</t>
  </si>
  <si>
    <t>Britney Spears</t>
  </si>
  <si>
    <t>spotify:artist:2RQXRUsr4IW1f3mKyKsy4B</t>
  </si>
  <si>
    <t>Noah Kahan</t>
  </si>
  <si>
    <t>spotify:artist:3IW7ScrzXmPvZhB27hmfgy</t>
  </si>
  <si>
    <t>Jul</t>
  </si>
  <si>
    <t>spotify:artist:69GGBxA162lTqCwzJG5jLp</t>
  </si>
  <si>
    <t>The Chainsmokers</t>
  </si>
  <si>
    <t>spotify:artist:6HaGTQPmzraVmaVxvz6EUc</t>
  </si>
  <si>
    <t>Jung Kook</t>
  </si>
  <si>
    <t>spotify:artist:4SsVbpTthjScTS7U2hmr1X</t>
  </si>
  <si>
    <t>Arcángel</t>
  </si>
  <si>
    <t>spotify:artist:31TPClRtHm23RisEBtV3X7</t>
  </si>
  <si>
    <t>Justin Timberlake</t>
  </si>
  <si>
    <t>spotify:artist:5H4yInM5zmHqpKIoMNAx4r</t>
  </si>
  <si>
    <t>Central Cee</t>
  </si>
  <si>
    <t>spotify:artist:4O15NlyKLIASxsJ0PrXPfz</t>
  </si>
  <si>
    <t>Lil Uzi Vert</t>
  </si>
  <si>
    <t>spotify:track:5wGsHz4u8LopZlpwIZO60q</t>
  </si>
  <si>
    <t>Jiandro, ola.wav</t>
  </si>
  <si>
    <t>Confess Your Love</t>
  </si>
  <si>
    <t>Jiandro</t>
  </si>
  <si>
    <t>spotify:track:18d1pubaNYUpaKIeSoxPFA</t>
  </si>
  <si>
    <t>Bella Kay</t>
  </si>
  <si>
    <t>The Sick</t>
  </si>
  <si>
    <t>2025 Bella Kay</t>
  </si>
  <si>
    <t>spotify:track:6oZ8BPQSQog7Q3LPUVgxCr</t>
  </si>
  <si>
    <t>Çağla, Doğu Swag</t>
  </si>
  <si>
    <t>Seni Düşündüm</t>
  </si>
  <si>
    <t>Eva Records</t>
  </si>
  <si>
    <t>LoVibe.</t>
  </si>
  <si>
    <t>a good man with a broken heart</t>
  </si>
  <si>
    <t>spotify:track:1o1y0rEQzj9HyB7grfQyl8</t>
  </si>
  <si>
    <t>Poizi, Murat Boz</t>
  </si>
  <si>
    <t>YAPAR MISIN?</t>
  </si>
  <si>
    <t>ZUNA</t>
  </si>
  <si>
    <t>AiNA THE END</t>
  </si>
  <si>
    <t>革命道中 - On The Way</t>
  </si>
  <si>
    <t>spotify:track:6v4OWxDDulyvjWfRXPjA8Y</t>
  </si>
  <si>
    <t>Neha Bhasin</t>
  </si>
  <si>
    <t>Jutti Meri (Live)</t>
  </si>
  <si>
    <t>spotify:track:3Puhw21QI2MKR4rdvyPuIb</t>
  </si>
  <si>
    <t>Kendis, adis</t>
  </si>
  <si>
    <t>ours to keep</t>
  </si>
  <si>
    <t>cookey.id</t>
  </si>
  <si>
    <t>spotify:track:4PA0CfHSeg5yYx7PCyGeMb</t>
  </si>
  <si>
    <t>napıyosun mesela ?</t>
  </si>
  <si>
    <t>spotify:track:4m9p3fGGkutMcvjgVTu1QN</t>
  </si>
  <si>
    <t>Khel Pangilinan</t>
  </si>
  <si>
    <t>Alipin</t>
  </si>
  <si>
    <t>M Music Live</t>
  </si>
  <si>
    <t>spotify:track:5fmyW3X3kncOOVlmcWhORH</t>
  </si>
  <si>
    <t>Barasuara</t>
  </si>
  <si>
    <t>Terbuang Dalam Waktu</t>
  </si>
  <si>
    <t>Hu Shah Records</t>
  </si>
  <si>
    <t>spotify:track:0q84FggW57NXGtLHoetS0Y</t>
  </si>
  <si>
    <t>Sachin-Jigar, Sonu Nigam, Krishnakali Saha, Amitabh Bhattacharya</t>
  </si>
  <si>
    <t>Pardesiya - From "Param Sundari"</t>
  </si>
  <si>
    <t>Universal Music India Pvt Ltd.</t>
  </si>
  <si>
    <t>spotify:track:7xWvRVssTTECvWCDNgCzSH</t>
  </si>
  <si>
    <t>Bleu Soleil, LUIZA</t>
  </si>
  <si>
    <t>Soleil Bleu</t>
  </si>
  <si>
    <t>Wagram Music / Chapter Two Records</t>
  </si>
  <si>
    <t>spotify:track:01WFjqzUwrD4nfSQsHMVNm</t>
  </si>
  <si>
    <t>Vanco, AYA</t>
  </si>
  <si>
    <t>Ma Tnsani (Yalla Habibi)</t>
  </si>
  <si>
    <t>spotify:track:0Gz4Q1Bmyef5yA0G6LIIQZ</t>
  </si>
  <si>
    <t>2hollis</t>
  </si>
  <si>
    <t>poster boy</t>
  </si>
  <si>
    <t>spotify:track:4B3cGux5Dy2VRYUbsqDj4M</t>
  </si>
  <si>
    <t>Jimmy Guzman, Omar Camacho</t>
  </si>
  <si>
    <t>Lumbre Music</t>
  </si>
  <si>
    <t>spotify:track:3hBzKgqQKkChH9hyb3MhmT</t>
  </si>
  <si>
    <t>Reneé Rapp</t>
  </si>
  <si>
    <t>I Think I Like You Better When You’re Gone</t>
  </si>
  <si>
    <t>spotify:track:1mvzvLW9nFujgS2VNKnToJ</t>
  </si>
  <si>
    <t>TRIANGLE DES BERMUDES, MC YOSHI, Mauvais djo, Kokosvoice</t>
  </si>
  <si>
    <t>Charger</t>
  </si>
  <si>
    <t>YPDP</t>
  </si>
  <si>
    <t>spotify:track:2mNGL7mZILSqZHxGboJaO9</t>
  </si>
  <si>
    <t>Yeat</t>
  </si>
  <si>
    <t>COMË N GO</t>
  </si>
  <si>
    <t>Lyfestyle Corporation/Field Trip Recordings/Capitol Records</t>
  </si>
  <si>
    <t>spotify:track:0DDTcst1ymDkTla649Mu0H</t>
  </si>
  <si>
    <t>Norm Ender, Ebru Gündeş</t>
  </si>
  <si>
    <t>Bir Çift Göz</t>
  </si>
  <si>
    <t>Norm Müzik Medya</t>
  </si>
  <si>
    <t>Sony Music Latin</t>
  </si>
  <si>
    <t>spotify:track:6M6Jgms4Z3x5xYLbnMk5TU</t>
  </si>
  <si>
    <t>Vikram Sarkar</t>
  </si>
  <si>
    <t>Naam Chale</t>
  </si>
  <si>
    <t>All Good Music Pvt Ltd</t>
  </si>
  <si>
    <t>spotify:track:6wW7ZgvYwgOKCRLeqYEM6y</t>
  </si>
  <si>
    <t>Kenan Doğulu</t>
  </si>
  <si>
    <t>Ara Beni Lütfen</t>
  </si>
  <si>
    <t>Doğulu Music</t>
  </si>
  <si>
    <t>spotify:track:3clPsjTbx4UOPMeQn7FZkV</t>
  </si>
  <si>
    <t>HALCALI</t>
  </si>
  <si>
    <t>おつかれSUMMER</t>
  </si>
  <si>
    <t>FOR LIFE MUSIC ENTERTAINMENT,INC.</t>
  </si>
  <si>
    <t>spotify:track:2t7B8DDBgLbMcYVMTo8vd5</t>
  </si>
  <si>
    <t>Mindless Self Indulgence</t>
  </si>
  <si>
    <t>Seven Minutes in Heaven</t>
  </si>
  <si>
    <t>UCR,LLC</t>
  </si>
  <si>
    <t>Zee Music Company</t>
  </si>
  <si>
    <t>spotify:track:4sgYmcu4FKb1ZC6qBlxMiw</t>
  </si>
  <si>
    <t>Anand Bhaskar, Romy, Ginny Diwan</t>
  </si>
  <si>
    <t>Vaaroon</t>
  </si>
  <si>
    <t>Karan Aujla, Ikky</t>
  </si>
  <si>
    <t>WM Canada</t>
  </si>
  <si>
    <t>spotify:track:5DTahoMKuix8Fi1WSXGwIW</t>
  </si>
  <si>
    <t>RK, Genezio</t>
  </si>
  <si>
    <t>Viano</t>
  </si>
  <si>
    <t>Hyper Focal Music / Family and Co Productions</t>
  </si>
  <si>
    <t>MIÜ</t>
  </si>
  <si>
    <t>Sun Pictures</t>
  </si>
  <si>
    <t>ANDROMEDA, elysian.</t>
  </si>
  <si>
    <t>MONTAGEM COMA</t>
  </si>
  <si>
    <t>spotify:track:3Hvn1ASL6A9m921Y99Hdm4</t>
  </si>
  <si>
    <t>cakal, Mavi</t>
  </si>
  <si>
    <t>Gözler</t>
  </si>
  <si>
    <t>Act Early &amp; Veritas</t>
  </si>
  <si>
    <t>weeks_on_chart</t>
  </si>
  <si>
    <t>spotify:track:4SqWKzw0CbA05TGszDgMlc</t>
  </si>
  <si>
    <t>The Walters</t>
  </si>
  <si>
    <t>I Love You So</t>
  </si>
  <si>
    <t>spotify:track:7qEHsqek33rTcFNT9PFqLf</t>
  </si>
  <si>
    <t>Lewis Capaldi</t>
  </si>
  <si>
    <t>Someone You Loved</t>
  </si>
  <si>
    <t>Vertigo Berlin</t>
  </si>
  <si>
    <t>spotify:track:6ouhsRJ7gExB7LCYjITk4Y</t>
  </si>
  <si>
    <t>Addison Rae</t>
  </si>
  <si>
    <t>Diet Pepsi</t>
  </si>
  <si>
    <t>spotify:track:51rfRCiUSvxXlCSCfIztBy</t>
  </si>
  <si>
    <t>I Love You, I'm Sorry</t>
  </si>
  <si>
    <t>spotify:track:7lQ8MOhq6IN2w8EYcFNSUk</t>
  </si>
  <si>
    <t>Without Me</t>
  </si>
  <si>
    <t>Eminem Catalog PS</t>
  </si>
  <si>
    <t>RBMG/Def Jam</t>
  </si>
  <si>
    <t>Mr.305/Polo Grounds Music/J Records</t>
  </si>
  <si>
    <t>spotify:artist:6LuN9FCkKOj5PcnpouEgny</t>
  </si>
  <si>
    <t>Khalid</t>
  </si>
  <si>
    <t>spotify:artist:5y8tKLUfMvliMe8IKamR32</t>
  </si>
  <si>
    <t>spotify:artist:4LLpKhyESsyAXpc4laK94U</t>
  </si>
  <si>
    <t>Mac Miller</t>
  </si>
  <si>
    <t>spotify:artist:50co4Is1HCEo8bhOyUWKpn</t>
  </si>
  <si>
    <t>Young Thug</t>
  </si>
  <si>
    <t>album_name</t>
  </si>
  <si>
    <t>spotify:album:14JkAa6IiFaOh5s0nMyMU9</t>
  </si>
  <si>
    <t>KPop Demon Hunters Cast, HUNTR/X, Saja Boys</t>
  </si>
  <si>
    <t>KPop Demon Hunters (Soundtrack from the Netflix Film)</t>
  </si>
  <si>
    <t>spotify:album:5K79FLRUCSysQnVESLcTdb</t>
  </si>
  <si>
    <t>DeBÍ TiRAR MáS FOToS</t>
  </si>
  <si>
    <t>spotify:album:6FyViQsaJnS1e5if4ouzGK</t>
  </si>
  <si>
    <t>You'll Be Alright, Kid</t>
  </si>
  <si>
    <t>spotify:album:5IZ8sY5FjtL9hloXpv0XbD</t>
  </si>
  <si>
    <t>I’m The Problem</t>
  </si>
  <si>
    <t>spotify:album:5vD5M5VW62LL78Ko8x0CVZ</t>
  </si>
  <si>
    <t>SWAG</t>
  </si>
  <si>
    <t>spotify:album:7aJuG4TFXa2hmE4z1yxc3n</t>
  </si>
  <si>
    <t>HIT ME HARD AND SOFT</t>
  </si>
  <si>
    <t>spotify:album:4xMNn5AFdmBIYiXRbt5YH4</t>
  </si>
  <si>
    <t>BORONDO</t>
  </si>
  <si>
    <t>spotify:album:1JpJzuM4uncCfCimVozkmy</t>
  </si>
  <si>
    <t>111XPANTIA</t>
  </si>
  <si>
    <t>spotify:album:3iPSVi54hsacKKl1xIR2eH</t>
  </si>
  <si>
    <t>Short n' Sweet</t>
  </si>
  <si>
    <t>spotify:album:0yY0fT7zibMEffhBJD9Nab</t>
  </si>
  <si>
    <t>Tropicoqueta</t>
  </si>
  <si>
    <t>spotify:album:1eCGY9WJpYgtaFh1Lk2KNo</t>
  </si>
  <si>
    <t>You'll Be Alright, Kid (Chapter 1)</t>
  </si>
  <si>
    <t>spotify:album:3RQQmkQEvNCY4prGKE6oc5</t>
  </si>
  <si>
    <t>Un Verano Sin Ti</t>
  </si>
  <si>
    <t>Rimas Entertainment LLC</t>
  </si>
  <si>
    <t>spotify:album:3VQkNrG74QPY4rHBPoyZYZ</t>
  </si>
  <si>
    <t>SOS Deluxe: LANA</t>
  </si>
  <si>
    <t>Top Dawg Entertainment/RCA Records</t>
  </si>
  <si>
    <t>spotify:album:5H7ixXZfsNMGbIE5OBSpcb</t>
  </si>
  <si>
    <t>THE TORTURED POETS DEPARTMENT: THE ANTHOLOGY</t>
  </si>
  <si>
    <t>spotify:album:1NAmidJlEaVgA3MpcPFYGq</t>
  </si>
  <si>
    <t>Lover</t>
  </si>
  <si>
    <t>spotify:album:2fenSS68JI1h4Fo296JfGr</t>
  </si>
  <si>
    <t>folklore</t>
  </si>
  <si>
    <t>spotify:album:2MHUaRi9OCyTN02SoyRRBJ</t>
  </si>
  <si>
    <t>MAYHEM</t>
  </si>
  <si>
    <t>spotify:album:78bpIziExqiI9qztvNFlQu</t>
  </si>
  <si>
    <t>AM</t>
  </si>
  <si>
    <t>spotify:album:6s84u2TUpR3wdUv4NgKA2j</t>
  </si>
  <si>
    <t>SOUR</t>
  </si>
  <si>
    <t>Olivia Rodrigo PS</t>
  </si>
  <si>
    <t>spotify:album:338NDGMHtB4t5mp8RhMnh3</t>
  </si>
  <si>
    <t>Mi Vida Mi Muerte</t>
  </si>
  <si>
    <t>spotify:album:7nacKlk586eLRBSIsrk9DB</t>
  </si>
  <si>
    <t>I've Tried Everything But Therapy (Part 1)</t>
  </si>
  <si>
    <t>spotify:album:2ODvWsOgouMbaA5xf0RkJe</t>
  </si>
  <si>
    <t>spotify:album:0hBRqPYPXhr1RkTDG3n4Mk</t>
  </si>
  <si>
    <t>The Secret of Us (Deluxe)</t>
  </si>
  <si>
    <t>spotify:album:6rePArBMb5nLWEaY9aQqL4</t>
  </si>
  <si>
    <t>The Fame Monster (Deluxe Edition)</t>
  </si>
  <si>
    <t>spotify:album:3w32SV56JvtJXsrYtThwzP</t>
  </si>
  <si>
    <t>So Close To What</t>
  </si>
  <si>
    <t>spotify:album:168CdR21lfn0TTyw1Pkdcm</t>
  </si>
  <si>
    <t>Fireworks &amp; Rollerblades</t>
  </si>
  <si>
    <t>spotify:album:0EiI8ylL0FmWWpgHVTsZjZ</t>
  </si>
  <si>
    <t>The Rise and Fall of a Midwest Princess</t>
  </si>
  <si>
    <t>spotify:album:6DEjYFkNZh67HP7R9PSZvv</t>
  </si>
  <si>
    <t>reputation</t>
  </si>
  <si>
    <t>spotify:album:6cbwstHlsAIIWurIIXXBPd</t>
  </si>
  <si>
    <t>eternal sunshine deluxe: brighter days ahead</t>
  </si>
  <si>
    <t>spotify:album:6l2aad6LJghHkbd0KX1f7w</t>
  </si>
  <si>
    <t>The Last Wun</t>
  </si>
  <si>
    <t>300 Entertainment</t>
  </si>
  <si>
    <t>spotify:album:1jzv3jwZbt8lYfEtMjiD1R</t>
  </si>
  <si>
    <t>DON'T TAP THE GLASS</t>
  </si>
  <si>
    <t>spotify:album:0BwWUstDMUbgq2NYONRqlu</t>
  </si>
  <si>
    <t>Rumours (Super Deluxe)</t>
  </si>
  <si>
    <t>spotify:album:1Q0kTJx8DrQd8RJW9L7eIN</t>
  </si>
  <si>
    <t>Wishbone</t>
  </si>
  <si>
    <t>spotify:album:1uyf3l2d4XYwiEqAb7t7fX</t>
  </si>
  <si>
    <t>Doo-Wops &amp; Hooligans</t>
  </si>
  <si>
    <t>spotify:album:4ryjxzYmf7uFr7QA87IKoz</t>
  </si>
  <si>
    <t>Tutankamon</t>
  </si>
  <si>
    <t>spotify:album:3OxfaVgvTxUTy7276t7SPU</t>
  </si>
  <si>
    <t>Hurry Up Tomorrow</t>
  </si>
  <si>
    <t>spotify:album:7Lv6VzSqIz1sAssK2JUskG</t>
  </si>
  <si>
    <t>$AD BOYZ 4 LIFE II</t>
  </si>
  <si>
    <t>spotify:album:4yP0hdKOZPNshxUOjY0cZj</t>
  </si>
  <si>
    <t>After Hours</t>
  </si>
  <si>
    <t>spotify:album:07w0rG5TETcyihsEIZR3qG</t>
  </si>
  <si>
    <t>SOS</t>
  </si>
  <si>
    <t>spotify:album:5BvgP623rtvlc0HDcpzquz</t>
  </si>
  <si>
    <t>Teenage Dream: The Complete Confection</t>
  </si>
  <si>
    <t>spotify:album:2HwRKkEp7jXbxXwcGyZYHK</t>
  </si>
  <si>
    <t>F1 The Album</t>
  </si>
  <si>
    <t>spotify:album:151w1FgRZfnKZA9FEcg9Z3</t>
  </si>
  <si>
    <t>Midnights</t>
  </si>
  <si>
    <t>spotify:album:3T4tUhGYeRNVUGevb0wThu</t>
  </si>
  <si>
    <t>÷ (Deluxe)</t>
  </si>
  <si>
    <t>spotify:album:6nznHVahdEzZ7Qwv9TrOW4</t>
  </si>
  <si>
    <t>Time Flies... 1994-2009 (Remastered)</t>
  </si>
  <si>
    <t>spotify:album:1yGbNOtRIgdIiGHOEBaZWf</t>
  </si>
  <si>
    <t>1989 (Deluxe)</t>
  </si>
  <si>
    <t>spotify:album:4OXnPSBtZo8PBFiTOfuumP</t>
  </si>
  <si>
    <t>Good Girl Gone Bad</t>
  </si>
  <si>
    <t>spotify:album:6ZG5lRT77aJ3btmArcykra</t>
  </si>
  <si>
    <t>Parachutes</t>
  </si>
  <si>
    <t>spotify:album:5VPw18vPykfaX5s3jiS0Ox</t>
  </si>
  <si>
    <t>Avicii</t>
  </si>
  <si>
    <t>Avicii Forever</t>
  </si>
  <si>
    <t>Universal Music AB</t>
  </si>
  <si>
    <t>spotify:album:7EIuLIjhFQAGPvq6L5gBvZ</t>
  </si>
  <si>
    <t>Porque La Demora</t>
  </si>
  <si>
    <t>spotify:album:6al2VdKbb6FIz9d7lU7WRB</t>
  </si>
  <si>
    <t>Proof</t>
  </si>
  <si>
    <t>spotify:album:27GWSFRITD8JJcSGMgEfTN</t>
  </si>
  <si>
    <t>INCÓMODO</t>
  </si>
  <si>
    <t>2024 Double P Records</t>
  </si>
  <si>
    <t>spotify:album:1vWMw6pu3err6qqZzI3RhH</t>
  </si>
  <si>
    <t>Ruby</t>
  </si>
  <si>
    <t>spotify:album:5VoeRuTrGhTbKelUfwymwu</t>
  </si>
  <si>
    <t>Born To Die - The Paradise Edition</t>
  </si>
  <si>
    <t>spotify:album:6hPkbAV3ZXpGZBGUvL6jVM</t>
  </si>
  <si>
    <t>Hybrid Theory (Bonus Edition)</t>
  </si>
  <si>
    <t>spotify:album:1xJHno7SmdVtZAtXbdbDZp</t>
  </si>
  <si>
    <t>GUTS</t>
  </si>
  <si>
    <t>spotify:album:4Gfnly5CzMJQqkUFfoHaP3</t>
  </si>
  <si>
    <t>Meteora</t>
  </si>
  <si>
    <t>spotify:album:5pSk3c3wVwnb2arb6ohCPU</t>
  </si>
  <si>
    <t>GOLDEN</t>
  </si>
  <si>
    <t>spotify:album:50ZenUP4O2Q5eCy2NRNvuz</t>
  </si>
  <si>
    <t>Stick Season</t>
  </si>
  <si>
    <t>Mercury Records/Republic Records</t>
  </si>
  <si>
    <t>spotify:album:3DmDoHxAeEiDFNWrHSKAdQ</t>
  </si>
  <si>
    <t>Echo</t>
  </si>
  <si>
    <t>spotify:album:0hvT3yIEysuuvkK73vgdcW</t>
  </si>
  <si>
    <t>GNX</t>
  </si>
  <si>
    <t>spotify:album:5chTLnnxlxQVAgEv6YbEBe</t>
  </si>
  <si>
    <t>spotify:album:1kCHru7uhxBUdzkm4gzRQc</t>
  </si>
  <si>
    <t>Hamilton (Original Broadway Cast Recording)</t>
  </si>
  <si>
    <t>spotify:album:6dVIqQ8qmQ5GBnJ9shOYGE</t>
  </si>
  <si>
    <t>OK Computer</t>
  </si>
  <si>
    <t>spotify:album:7kFyd5oyJdVX2pIi6P4iHE</t>
  </si>
  <si>
    <t>ROSÉ</t>
  </si>
  <si>
    <t>rosie</t>
  </si>
  <si>
    <t>spotify:album:5EYKrEDnKhhcNxGedaRQeK</t>
  </si>
  <si>
    <t>eternal sunshine</t>
  </si>
  <si>
    <t>spotify:album:2UG6T6f0Qc9SaBCIcaviLM</t>
  </si>
  <si>
    <t>Teenage Dream</t>
  </si>
  <si>
    <t>spotify:album:03guxdOi12XJbnvxvxbpwG</t>
  </si>
  <si>
    <t>Submarine</t>
  </si>
  <si>
    <t>spotify:album:6tOe4eAF8xNhEkl9WyvsE4</t>
  </si>
  <si>
    <t>(What's The Story) Morning Glory? (Deluxe Remastered Edition)</t>
  </si>
  <si>
    <t>Big Brother Recordings Ltd</t>
  </si>
  <si>
    <t>spotify:album:15XcLhiVMlSOipUddTNDnr</t>
  </si>
  <si>
    <t>MUSE</t>
  </si>
  <si>
    <t>spotify:album:36P07bti6xD99o7S1acmin</t>
  </si>
  <si>
    <t>Brat and it’s completely different but also still brat</t>
  </si>
  <si>
    <t>spotify:album:0rnd3h2dc82L4gTjW6Vfoq</t>
  </si>
  <si>
    <t>One Thing At A Time</t>
  </si>
  <si>
    <t>spotify:album:6Rl6YoCarF2GHPSQmmFjuR</t>
  </si>
  <si>
    <t>PARTYNEXTDOOR, Drake</t>
  </si>
  <si>
    <t>$ome $exy $ongs 4 U</t>
  </si>
  <si>
    <t>spotify:album:4CZBLiXAPe237EfXNZ35Gl</t>
  </si>
  <si>
    <t>Redención (Deluxe)</t>
  </si>
  <si>
    <t>spotify:album:1dgbFU08pXJXZhGPlybdMX</t>
  </si>
  <si>
    <t>THE E.N.D. (THE ENERGY NEVER DIES) [Deluxe Version]</t>
  </si>
  <si>
    <t>spotify:album:3mH6qwIy9crq0I9YQbOuDf</t>
  </si>
  <si>
    <t>Blonde</t>
  </si>
  <si>
    <t>Boys Don't Cry</t>
  </si>
  <si>
    <t>spotify:album:4g1ZRSobMefqF6nelkgibi</t>
  </si>
  <si>
    <t>Hollywood's Bleeding</t>
  </si>
  <si>
    <t>spotify:album:4Pv7m8D82A1Xun7xNCKZjJ</t>
  </si>
  <si>
    <t>Hozier (Expanded Edition)</t>
  </si>
  <si>
    <t>spotify:album:3wBabo4pmzsYjALMSKY7Iq</t>
  </si>
  <si>
    <t>Illuminate (Deluxe)</t>
  </si>
  <si>
    <t>spotify:album:5kvw1bAOvzJdNi4hdgfaNf</t>
  </si>
  <si>
    <t>ÉXODO</t>
  </si>
  <si>
    <t>spotify:album:7fJJK56U9fHixgO0HQkhtI</t>
  </si>
  <si>
    <t>Future Nostalgia</t>
  </si>
  <si>
    <t>spotify:album:6kZ42qRrzov54LcAk4onW9</t>
  </si>
  <si>
    <t>Red (Taylor's Version)</t>
  </si>
  <si>
    <t>spotify:album:6ZzYIwoppAL4h1U777KuQn</t>
  </si>
  <si>
    <t>Manifesto Musical 2 (Ao Vivo / Vol.1)</t>
  </si>
  <si>
    <t>spotify:album:2UJcKiJxNryhL050F5Z1Fk</t>
  </si>
  <si>
    <t>Nevermind (Remastered)</t>
  </si>
  <si>
    <t>spotify:album:6Fr2rQkZ383FcMqFyT7yPr</t>
  </si>
  <si>
    <t>Purpose (Deluxe)</t>
  </si>
  <si>
    <t>spotify:album:01sfgrNbnnPUEyz6GZYlt9</t>
  </si>
  <si>
    <t>Dua Lipa (Deluxe)</t>
  </si>
  <si>
    <t>spotify:album:40GMAhriYJRO1rsY4YdrZb</t>
  </si>
  <si>
    <t>Views</t>
  </si>
  <si>
    <t>spotify:album:1zNMg3ouAmuzATO21HkNa3</t>
  </si>
  <si>
    <t>LE NORD SE SOUVIENT : L'ODYSSÉE</t>
  </si>
  <si>
    <t>Play Two</t>
  </si>
  <si>
    <t>spotify:album:1qwlxZTNLe1jq3b0iidlue</t>
  </si>
  <si>
    <t>The Fame</t>
  </si>
  <si>
    <t>spotify:album:0aX0UXrHG2ceYIxTQcqJdA</t>
  </si>
  <si>
    <t>Cosa Nuestra</t>
  </si>
  <si>
    <t>Sony Music Latin/Duars Entertainment</t>
  </si>
  <si>
    <t>spotify:album:6X1x82kppWZmDzlXXK3y3q</t>
  </si>
  <si>
    <t>Take Care (Deluxe)</t>
  </si>
  <si>
    <t>spotify:album:1QRP5lutJodPixU2EWfnD7</t>
  </si>
  <si>
    <t>Dangerous Woman</t>
  </si>
  <si>
    <t>Universal Records</t>
  </si>
  <si>
    <t>spotify:album:4FftCsAcXXD1nFO9RFUNFO</t>
  </si>
  <si>
    <t>nadie sabe lo que va a pasar mañana</t>
  </si>
  <si>
    <t>spotify:album:4SZko61aMnmgvNhfhgTuD3</t>
  </si>
  <si>
    <t>Graduation</t>
  </si>
  <si>
    <t>Roc-A-Fella</t>
  </si>
  <si>
    <t>spotify:album:0S0KGZnfBGSIssfF54WSJh</t>
  </si>
  <si>
    <t>WHEN WE ALL FALL ASLEEP, WHERE DO WE GO?</t>
  </si>
  <si>
    <t>spotify:album:3C0QJ1R0T3xX0BUbOZcdCw</t>
  </si>
  <si>
    <t>American Heart</t>
  </si>
  <si>
    <t>spotify:album:02dUOPB3MtmV5fawzaZiq6</t>
  </si>
  <si>
    <t>THIS IS FOR</t>
  </si>
  <si>
    <t>spotify:album:0OUOx6rJXtL66AzTnP9KUE</t>
  </si>
  <si>
    <t>THINK LATER</t>
  </si>
  <si>
    <t>spotify:album:58ufpQsJ1DS5kq4hhzQDiI</t>
  </si>
  <si>
    <t>Unorthodox Jukebox</t>
  </si>
  <si>
    <t>spotify:album:3roEiD2gUP1LHPHwUPbXs1</t>
  </si>
  <si>
    <t>Anirudh Ravichander, Arivu, Heisenberg, Asal Kolaar</t>
  </si>
  <si>
    <t>Coolie (Original Motion Picture Soundtrack)</t>
  </si>
  <si>
    <t>spotify:album:64LU4c1nfjz1t4VnGhagcg</t>
  </si>
  <si>
    <t>1989 (Taylor's Version)</t>
  </si>
  <si>
    <t>spotify:album:4kS7bSuU0Jm9LYMosFU2x5</t>
  </si>
  <si>
    <t>MAÑANA SERÁ BONITO</t>
  </si>
  <si>
    <t>BICHOTA RECORDS / INTERSCOPE RECORDS / UNIVERSAL MUSIC LATINO</t>
  </si>
  <si>
    <t>spotify:album:4rG0MhkU6UojACJxkMHIXB</t>
  </si>
  <si>
    <t>Planet Pit (Deluxe Version)</t>
  </si>
  <si>
    <t>spotify:album:41GuZcammIkupMPKH2OJ6I</t>
  </si>
  <si>
    <t>ASTROWORLD</t>
  </si>
  <si>
    <t>Cactus Jack / Epic</t>
  </si>
  <si>
    <t>spotify:album:2ANVost0y2y52ema1E9xAZ</t>
  </si>
  <si>
    <t>Thriller</t>
  </si>
  <si>
    <t>spotify:album:1CfqWSAyfmYzHU9ktHxUqd</t>
  </si>
  <si>
    <t>96 Months</t>
  </si>
  <si>
    <t>spotify:album:0fSfkmx0tdPqFYkJuNX74a</t>
  </si>
  <si>
    <t>MUSIC</t>
  </si>
  <si>
    <t>AWGE/Interscope Records</t>
  </si>
  <si>
    <t>spotify:album:0JGOiO34nwfUdDrD612dOp</t>
  </si>
  <si>
    <t>Happier Than Ever</t>
  </si>
  <si>
    <t>spotify:album:32lGAqeVkdJxEj2iv2Q01B</t>
  </si>
  <si>
    <t>JACKBOYS, Travis Scott</t>
  </si>
  <si>
    <t>JACKBOYS 2</t>
  </si>
  <si>
    <t>spotify:album:2pjfMmH52fryXVQuWTWOgP</t>
  </si>
  <si>
    <t>Overexposed (Deluxe)</t>
  </si>
  <si>
    <t>spotify:album:2cWBwpqMsDJC1ZUwz813lo</t>
  </si>
  <si>
    <t>The Eminem Show</t>
  </si>
  <si>
    <t>spotify:album:5lJqux7orBlA1QzyiBGti1</t>
  </si>
  <si>
    <t>YHLQMDLG</t>
  </si>
  <si>
    <t>spotify:album:08jWgM4vSkTose4blKBWov</t>
  </si>
  <si>
    <t>In The Lonely Hour</t>
  </si>
  <si>
    <t>spotify:album:0P3oVJBFOv3TDXlYRhGL7s</t>
  </si>
  <si>
    <t>Beauty Behind The Madness</t>
  </si>
  <si>
    <t>spotify:album:4E1XUBMTpLO7GpBzUo65Jp</t>
  </si>
  <si>
    <t>Freudian</t>
  </si>
  <si>
    <t>HV Recordings</t>
  </si>
  <si>
    <t>spotify:album:58vZavXqh1P5uoTXteudWl</t>
  </si>
  <si>
    <t>At The Beach, In Every Life</t>
  </si>
  <si>
    <t>spotify:album:0t4IoD2ctBdtx0zRYc8lFe</t>
  </si>
  <si>
    <t>Kapo</t>
  </si>
  <si>
    <t>POR SI ALGUIEN NOS ESCUCHA</t>
  </si>
  <si>
    <t>Sony Music Latin/La Industria</t>
  </si>
  <si>
    <t>spotify:album:33pt9HBdGlAbRGBHQgsZsU</t>
  </si>
  <si>
    <t>Evolve</t>
  </si>
  <si>
    <t>spotify:album:4UMjBXcRqIgMZ1XumU2x5T</t>
  </si>
  <si>
    <t>Dizzy up the Girl</t>
  </si>
  <si>
    <t>spotify:album:1m3NgCXFcAW2sFzYbVfWXO</t>
  </si>
  <si>
    <t>Rico o Muerto, Vol. 1</t>
  </si>
  <si>
    <t>Rancho Humilde/Sony Music Latin</t>
  </si>
  <si>
    <t>spotify:album:4PgleR09JVnm3zY1fW3XBA</t>
  </si>
  <si>
    <t>24K Magic</t>
  </si>
  <si>
    <t>spotify:album:1ORxRsK3MrSLvh7VQTF01F</t>
  </si>
  <si>
    <t>Ultraviolence (Deluxe)</t>
  </si>
  <si>
    <t>spotify:album:18NOKLkZETa4sWwLMIm0UZ</t>
  </si>
  <si>
    <t>UTOPIA</t>
  </si>
  <si>
    <t>Cactus Jack/Epic</t>
  </si>
  <si>
    <t>spotify:album:6fjXZWQdeJLAuPDxLeTqkj</t>
  </si>
  <si>
    <t>Babylon Club</t>
  </si>
  <si>
    <t>spotify:album:5eoWRkeplmcCL97afSMJVm</t>
  </si>
  <si>
    <t>LISA</t>
  </si>
  <si>
    <t>Alter Ego</t>
  </si>
  <si>
    <t>Lloud Co./RCA Records</t>
  </si>
  <si>
    <t>spotify:album:4eLPsYPBmXABThSJ821sqY</t>
  </si>
  <si>
    <t>DAMN.</t>
  </si>
  <si>
    <t>Aftermath</t>
  </si>
  <si>
    <t>spotify:album:6EVYTRG1drKdO8OnIQBeEj</t>
  </si>
  <si>
    <t>My Everything (Deluxe)</t>
  </si>
  <si>
    <t>spotify:album:5duyQokC4FMcWPYTV9Gpf9</t>
  </si>
  <si>
    <t>spotify:album:7txGsnDSqVMoRl6RQ9XyZP</t>
  </si>
  <si>
    <t>HEROES &amp; VILLAINS</t>
  </si>
  <si>
    <t>spotify:album:4jox3ip1I39DFC2B7R5qLH</t>
  </si>
  <si>
    <t>GÉNESIS</t>
  </si>
  <si>
    <t>spotify:album:28yHV3Gdg30AiB8h8em1eW</t>
  </si>
  <si>
    <t>Appetite For Destruction</t>
  </si>
  <si>
    <t>spotify:album:7ivbFszr1TbVadj89BIy1y</t>
  </si>
  <si>
    <t>NEVER ENOUGH</t>
  </si>
  <si>
    <t>spotify:album:1uE3dRPe3SrGdNhd1nWlSa</t>
  </si>
  <si>
    <t>Bird's Eye</t>
  </si>
  <si>
    <t>spotify:album:392p3shh2jkxUxY2VHvlH8</t>
  </si>
  <si>
    <t>channel ORANGE</t>
  </si>
  <si>
    <t>Red Zone Entertainment / IDJ</t>
  </si>
  <si>
    <t>spotify:album:1Li4rADxSxjT2g4xqUcMYh</t>
  </si>
  <si>
    <t>Red Pill Blues (Deluxe)</t>
  </si>
  <si>
    <t>spotify:album:4xkM0BwLM9H2IUcbYzpcBI</t>
  </si>
  <si>
    <t>I Love You.</t>
  </si>
  <si>
    <t>spotify:album:3SpBlxme9WbeQdI9kx7KAV</t>
  </si>
  <si>
    <t>Certified Lover Boy</t>
  </si>
  <si>
    <t>OVO</t>
  </si>
  <si>
    <t>spotify:album:3beZ5DRcWVTpXaU3ViLIF6</t>
  </si>
  <si>
    <t>LO MISMO DE SIEMPRE</t>
  </si>
  <si>
    <t>spotify:album:0y9i2KHDYh2gKfbpUNiM86</t>
  </si>
  <si>
    <t>Membangun &amp; Menghancurkan</t>
  </si>
  <si>
    <t>spotify:album:4hDok0OAJd57SGIT8xuWJH</t>
  </si>
  <si>
    <t>Fearless (Taylor's Version)</t>
  </si>
  <si>
    <t>spotify:album:4BbsHmXEghoPPevQjPnHXx</t>
  </si>
  <si>
    <t>F-1 Trillion</t>
  </si>
  <si>
    <t>spotify:album:5658aM19fA3JVwTK6eQX70</t>
  </si>
  <si>
    <t>Divinely Uninspired To A Hellish Extent</t>
  </si>
  <si>
    <t>spotify:album:6j8S3AOIOXBR1qfd3n2wHm</t>
  </si>
  <si>
    <t>afroLOVA 25'</t>
  </si>
  <si>
    <t>spotify:album:1nAQbHeOWTfQzbOoFrvndW</t>
  </si>
  <si>
    <t>Planet Her</t>
  </si>
  <si>
    <t>spotify:album:0U28P0QVB1QRxpqp5IHOlH</t>
  </si>
  <si>
    <t>CHROMAKOPIA</t>
  </si>
  <si>
    <t>spotify:album:5G5rgQHzdQnw32SI0WjIo5</t>
  </si>
  <si>
    <t>Get Rich Or Die Tryin'</t>
  </si>
  <si>
    <t>Shady Records</t>
  </si>
  <si>
    <t>spotify:album:2Y9IRtehByVkegoD7TcLfi</t>
  </si>
  <si>
    <t>Californication (Deluxe Edition)</t>
  </si>
  <si>
    <t>spotify:album:5dGWwsZ9iB2Xc3UKR0gif2</t>
  </si>
  <si>
    <t>Justice</t>
  </si>
  <si>
    <t>spotify:album:34OOEmWpj7OnO5kCfal1MO</t>
  </si>
  <si>
    <t>Clave Especial</t>
  </si>
  <si>
    <t>MIJA NO TE ASUSTES</t>
  </si>
  <si>
    <t>spotify:album:3C5uwdRE5QRoXSGPPxpDd4</t>
  </si>
  <si>
    <t>PRIMERA MUSA</t>
  </si>
  <si>
    <t>Mr.305 Records / Rimas Entertainment LLC.</t>
  </si>
  <si>
    <t>spotify:album:4UlGauD7ROb3YbVOFMgW5u</t>
  </si>
  <si>
    <t>ANTI (Deluxe)</t>
  </si>
  <si>
    <t>Roc Nation / Rihanna</t>
  </si>
  <si>
    <t>spotify:album:0RHX9XECH8IVI3LNgWDpmQ</t>
  </si>
  <si>
    <t>A Rush of Blood to the Head</t>
  </si>
  <si>
    <t>spotify:album:4R6FV9NSzhPihHR0h4pI93</t>
  </si>
  <si>
    <t>From Zero</t>
  </si>
  <si>
    <t>spotify:album:6jWde94ln40epKIQCd8XUh</t>
  </si>
  <si>
    <t>Toxicity</t>
  </si>
  <si>
    <t>American/Columbia</t>
  </si>
  <si>
    <t>spotify:album:2Nt6MDJXfoxQ22tIQgWXIh</t>
  </si>
  <si>
    <t>VICE VERSA</t>
  </si>
  <si>
    <t>spotify:album:4iSZXBgHUpzVGl8qfuZSEv</t>
  </si>
  <si>
    <t>Where I've Been, Isn't Where I'm Going: The Complete Edition</t>
  </si>
  <si>
    <t>spotify:album:3zu0hJJew2qXZNlselIQk8</t>
  </si>
  <si>
    <t>Pa las Baby's Y Belikeada</t>
  </si>
  <si>
    <t>Rancho Humilde/Street Mob Records</t>
  </si>
  <si>
    <t>spotify:album:7xV2TzoaVc0ycW7fwBwAml</t>
  </si>
  <si>
    <t>Fine Line</t>
  </si>
  <si>
    <t>spotify:album:0FZK97MXMm5mUQ8mtudjuK</t>
  </si>
  <si>
    <t>My Chemical Romance</t>
  </si>
  <si>
    <t>The Black Parade</t>
  </si>
  <si>
    <t>Reprise</t>
  </si>
  <si>
    <t>spotify:album:4sD1qg4jwTZR4mvR4Iflk5</t>
  </si>
  <si>
    <t>Strange Trails</t>
  </si>
  <si>
    <t>spotify:album:1AlJetbC3AI9aGsiGn0O6T</t>
  </si>
  <si>
    <t>Dangerous: The Double Album</t>
  </si>
  <si>
    <t>spotify:album:5r36AJ6VOJtp00oxSkBZ5h</t>
  </si>
  <si>
    <t>Harry's House</t>
  </si>
  <si>
    <t>spotify:album:7oiJYvEJHsmYtrgviAVIBD</t>
  </si>
  <si>
    <t>James Arthur</t>
  </si>
  <si>
    <t>Back from the Edge</t>
  </si>
  <si>
    <t>spotify:album:2g4aJTa5ejGpp0O0GKzWAQ</t>
  </si>
  <si>
    <t>emails i can’t send fwd:</t>
  </si>
  <si>
    <t>spotify:album:0sWJ3v0FROzcNzyjNYUs6t</t>
  </si>
  <si>
    <t>LA CIUDAD</t>
  </si>
  <si>
    <t>spotify:album:5QG3tjE5L9F6O2vCAPph38</t>
  </si>
  <si>
    <t>spotify:album:0vv1zKShlm7WuawEup5Mf4</t>
  </si>
  <si>
    <t>Three Days Grace</t>
  </si>
  <si>
    <t>Life Starts Now</t>
  </si>
  <si>
    <t>Jive</t>
  </si>
  <si>
    <t>spotify:album:1ATL5GLyefJaxhQzSPVrLX</t>
  </si>
  <si>
    <t>Scorpion</t>
  </si>
  <si>
    <t>Cash Money/Drake LP6</t>
  </si>
  <si>
    <t>spotify:album:1lXY618HWkwYKJWBRYR4MK</t>
  </si>
  <si>
    <t>More Life</t>
  </si>
  <si>
    <t>spotify:album:79dL7FLiJFOO0EoehUHQBv</t>
  </si>
  <si>
    <t>Tame Impala</t>
  </si>
  <si>
    <t>Currents</t>
  </si>
  <si>
    <t>Universal Music Australia Pty. Ltd.</t>
  </si>
  <si>
    <t>spotify:album:2ffVa2UhHUDwMHnr685zJ4</t>
  </si>
  <si>
    <t>Addison</t>
  </si>
  <si>
    <t>spotify:album:17HsiXfqKUPoTP6Y5ebs1L</t>
  </si>
  <si>
    <t>Fórmula, Vol. 2 (Deluxe Edition)</t>
  </si>
  <si>
    <t>spotify:album:4bTjdxhRRUiWfwj200f9Kl</t>
  </si>
  <si>
    <t>Nothing but the Beat (Ultimate Edition)</t>
  </si>
  <si>
    <t>Parlophone (France)</t>
  </si>
  <si>
    <t>spotify:album:5aprcHwM1KJhaY9Kbxkfkn</t>
  </si>
  <si>
    <t>Nothing but the Beat 2.0</t>
  </si>
  <si>
    <t>spotify:album:7h5xn0Olvx2p0eQcSt1Osy</t>
  </si>
  <si>
    <t>Metallica (Remastered Deluxe Box Set)</t>
  </si>
  <si>
    <t>Blackened Recordings / Universal Music</t>
  </si>
  <si>
    <t>spotify:album:1XkGORuUX2QGOEIL4EbJKm</t>
  </si>
  <si>
    <t>Favourite Worst Nightmare</t>
  </si>
  <si>
    <t>spotify:album:44U3Xm9U4Krj0Iv5w7kuTK</t>
  </si>
  <si>
    <t>ONDEADO$</t>
  </si>
  <si>
    <t>spotify:album:63yRRBtLX8eqbOLD6f0y9U</t>
  </si>
  <si>
    <t>spotify:album:2yboV2QBcVGEhcRlYuPpDT</t>
  </si>
  <si>
    <t>Nelly Furtado</t>
  </si>
  <si>
    <t>Loose</t>
  </si>
  <si>
    <t>Mosley / Geffen</t>
  </si>
  <si>
    <t>spotify:album:5dN7F9DV0Qg1XRdIgW8rke</t>
  </si>
  <si>
    <t>American Idiot</t>
  </si>
  <si>
    <t>spotify:album:1xn54DMo2qIqBuMqHtUsFd</t>
  </si>
  <si>
    <t>x (Deluxe Edition)</t>
  </si>
  <si>
    <t>spotify:album:4gCNyS7pidfK3rKWhB3JOY</t>
  </si>
  <si>
    <t>FOUR (Deluxe)</t>
  </si>
  <si>
    <t>Syco Music</t>
  </si>
  <si>
    <t>spotify:album:7w19PFbxAjwZ7UVNp9z0uT</t>
  </si>
  <si>
    <t>18 Months</t>
  </si>
  <si>
    <t>spotify:album:4czdORdCWP9umpbhFXK2fW</t>
  </si>
  <si>
    <t>For All The Dogs</t>
  </si>
  <si>
    <t>spotify:album:3cQO7jp5S9qLBoIVtbkSM1</t>
  </si>
  <si>
    <t>Blurryface</t>
  </si>
  <si>
    <t>Fueled By Ramen</t>
  </si>
  <si>
    <t>spotify:album:6tkjU4Umpo79wwkgPMV3nZ</t>
  </si>
  <si>
    <t>Goodbye &amp; Good Riddance</t>
  </si>
  <si>
    <t>Juice WRLD Mixtape / ISR P&amp;D</t>
  </si>
  <si>
    <t>spotify:album:2Ti79nwTsont5ZHfdxIzAm</t>
  </si>
  <si>
    <t>?</t>
  </si>
  <si>
    <t>Bad Vibes Forever, LLC</t>
  </si>
  <si>
    <t>spotify:album:5i9lMMUZ1QZNsLEE3j50kT</t>
  </si>
  <si>
    <t>El Comienzo</t>
  </si>
  <si>
    <t>spotify:album:6MikZBKCtKfPM4439yzBRz</t>
  </si>
  <si>
    <t>FloyyMenor</t>
  </si>
  <si>
    <t>EL COMIENZO</t>
  </si>
  <si>
    <t>Vanessa Da Mata</t>
  </si>
  <si>
    <t>Ainda Bem</t>
  </si>
  <si>
    <t>spotify:track:1Nmcs8zk7LfcvHRgLtTM5J</t>
  </si>
  <si>
    <t>Orochi, Papatinho</t>
  </si>
  <si>
    <t>Amor de Fim de Noite</t>
  </si>
  <si>
    <t>spotify:track:47j8u38wfvxdQeRA7TBJrB</t>
  </si>
  <si>
    <t>É Tudo Sobre Você - Ao Vivo</t>
  </si>
  <si>
    <t>spotify:track:2RUTvhNHo2DEECnumWFG0o</t>
  </si>
  <si>
    <t>BK, Nansy Silvvz, Gigantes</t>
  </si>
  <si>
    <t>Amanhecer</t>
  </si>
  <si>
    <t>spotify:track:4nTrxp4aH0g2yLVPkFmljF</t>
  </si>
  <si>
    <t>Vida Loka, Pt. 2</t>
  </si>
  <si>
    <t>Show Mix.</t>
  </si>
  <si>
    <t>spotify:artist:4oa7ETNZH1ivfzFkCGVZlR</t>
  </si>
  <si>
    <t>Milionário &amp; José Rico</t>
  </si>
  <si>
    <t>spotify:artist:7HoPy2YmahCCaYaFSFq497</t>
  </si>
  <si>
    <t>Yago Oproprio</t>
  </si>
  <si>
    <t>Toque Dez</t>
  </si>
  <si>
    <t>spotify:album:29VnTLRHOkm8hoJj9AvEMv</t>
  </si>
  <si>
    <t>Ao Vivo Em Uberlândia Vol. 02</t>
  </si>
  <si>
    <t>spotify:album:00kVv1eVa8WDdhUrGg9yAW</t>
  </si>
  <si>
    <t>RomantiDog</t>
  </si>
  <si>
    <t>spotify:album:5z3VxPxXmWi61ArzkvvWWJ</t>
  </si>
  <si>
    <t>Magia das Estrelas, Vol. 2 (Ao Vivo)</t>
  </si>
  <si>
    <t>spotify:album:21FP96bn6KdYTSe5zCbhZT</t>
  </si>
  <si>
    <t>Eu Venci o Mundo</t>
  </si>
  <si>
    <t>spotify:album:40jGnqAXzR8Bta84lEI5mc</t>
  </si>
  <si>
    <t>Feito À Mão Vol. 01</t>
  </si>
  <si>
    <t>spotify:album:5VVcZ4Ne2Tt9Bpj7QS7RrC</t>
  </si>
  <si>
    <t>Panda Sem Moderação (Ao Vivo)</t>
  </si>
  <si>
    <t>spotify:album:4o4fRzbvBpmoiSpkr68mmC</t>
  </si>
  <si>
    <t>Churrasquinho 3 (Ao Vivo)</t>
  </si>
  <si>
    <t>spotify:album:0gbJAL2rZwc77ra11uiHDu</t>
  </si>
  <si>
    <t>Panda, Humberto &amp; Ronaldo, Ícaro e Gilmar</t>
  </si>
  <si>
    <t>Cê Tá Doido (São José Do Rio Preto) [Ao Vivo]</t>
  </si>
  <si>
    <t>spotify:album:6UuPk9eKMZBEr0HizvV2Wy</t>
  </si>
  <si>
    <t>O Céu Explica Tudo (Ao Vivo)</t>
  </si>
  <si>
    <t>spotify:album:4HcPzKyKVtcZCwJgesoZWn</t>
  </si>
  <si>
    <t>Nada Como um Dia Após o Outro Dia, Vol. 1 &amp; 2</t>
  </si>
  <si>
    <t>spotify:album:4ZFPMOKBs7Qv6dfUjrOqxc</t>
  </si>
  <si>
    <t>Magia das Estrelas, Vol. 1 (Ao Vivo)</t>
  </si>
  <si>
    <t>spotify:album:4KanzzLcDoiraz456AUvEl</t>
  </si>
  <si>
    <t>To Be (Ao Vivo Em Brasília)</t>
  </si>
  <si>
    <t>spotify:album:2lmUmRXPsds8n2YU68dalX</t>
  </si>
  <si>
    <t>Acústico (Ao Vivo)</t>
  </si>
  <si>
    <t>spotify:album:5CP84pfi4AFe95UTACFWrk</t>
  </si>
  <si>
    <t>spotify:album:6vFQ9dJq1sFwBm9SvKirzi</t>
  </si>
  <si>
    <t>Liberdade</t>
  </si>
  <si>
    <t>spotify:album:4F0IyhC2CjV5DtBK0uo5eM</t>
  </si>
  <si>
    <t>CAOS DLX</t>
  </si>
  <si>
    <t>spotify:album:2yUnlito8lmh50Kgx6DKbW</t>
  </si>
  <si>
    <t>Nossa Cara (Ao Vivo / Vol.2)</t>
  </si>
  <si>
    <t>spotify:album:0qy6yZjgoZ2cGGk9joy8E4</t>
  </si>
  <si>
    <t>Marília Mendonça (Ao Vivo)</t>
  </si>
  <si>
    <t>spotify:album:4xFE545VDYSeK8mHiTpdC5</t>
  </si>
  <si>
    <t>Nume - Epílogo</t>
  </si>
  <si>
    <t>spotify:album:5ANUMlfnRL0wLnb0WWb6TC</t>
  </si>
  <si>
    <t>spotify:album:7LgfD3r1bBvKvt3GFRlU6l</t>
  </si>
  <si>
    <t>Transcende (Ao Vivo)</t>
  </si>
  <si>
    <t>spotify:album:4RjOODnT7VzuwMJQk7apEG</t>
  </si>
  <si>
    <t>spotify:album:3S91wF3EWG7OvRjsK9F2lx</t>
  </si>
  <si>
    <t>A Nata de Tudo - A Ovelha Negra</t>
  </si>
  <si>
    <t>spotify:album:5ExfGmxdqydd3vgdLdRR8f</t>
  </si>
  <si>
    <t>Ao Vivo No Ibirapuera</t>
  </si>
  <si>
    <t>spotify:album:5Cs1VjhgG8FmA5rv5iXe3r</t>
  </si>
  <si>
    <t>Check-In (Ao Vivo)</t>
  </si>
  <si>
    <t>spotify:album:4PCWrE06AezR84OPLuHyPI</t>
  </si>
  <si>
    <t>Acústico, Vol.2 (Ao Vivo)</t>
  </si>
  <si>
    <t>spotify:album:0PGX05DaiCQoOTlNRKg8q2</t>
  </si>
  <si>
    <t>+ Amor, + Música Vol. 3 (Ao Vivo)</t>
  </si>
  <si>
    <t>spotify:album:0wQ5Sn6RU4yL6WpeiWSaBN</t>
  </si>
  <si>
    <t>Esquece o Mundo Lá Fora (Ao Vivo | Deluxe)</t>
  </si>
  <si>
    <t>spotify:album:1OkdRmcGgEGkotlkG1E9q2</t>
  </si>
  <si>
    <t>Envolvente (Ao Vivo / Vol.2)</t>
  </si>
  <si>
    <t>spotify:album:4pUsKJjeqLi99MZbRKD03U</t>
  </si>
  <si>
    <t>Novas Histórias (Ao Vivo)</t>
  </si>
  <si>
    <t>spotify:album:3SkOXrdSri5EIpDpUvfdm3</t>
  </si>
  <si>
    <t>Prazer, eu sou Ferrugem (Ao vivo)</t>
  </si>
  <si>
    <t>spotify:album:1O14i0prsw0PrQYgHQ19Pa</t>
  </si>
  <si>
    <t>Celebridade</t>
  </si>
  <si>
    <t>spotify:album:6vour1AXVo2RNRspJQjQoV</t>
  </si>
  <si>
    <t>Toma Essa Verdade (Ao Vivo)</t>
  </si>
  <si>
    <t>spotify:album:4mAnLhz2LZr6TAVhCwSAi1</t>
  </si>
  <si>
    <t>Panda Sem Moderação, Vol. 2 (Ao Vivo)</t>
  </si>
  <si>
    <t>spotify:album:31FOkXSjgGWQN0AABNxtbA</t>
  </si>
  <si>
    <t>Questão de Tempo (Ao Vivo / Parte 1)</t>
  </si>
  <si>
    <t>spotify:album:3qL1ZV5aLsA2U0lVdIadau</t>
  </si>
  <si>
    <t>Manifesto Musical (Ao Vivo / Vol. 1)</t>
  </si>
  <si>
    <t>spotify:album:5FVM8teszzq7kZyIjkI4Vu</t>
  </si>
  <si>
    <t>Diamantes, Lágrimas e Rostos para Esquecer</t>
  </si>
  <si>
    <t>spotify:album:1Rhh1ACMnj4WR7l0kMcvlh</t>
  </si>
  <si>
    <t>Atemporal (Ao Vivo)</t>
  </si>
  <si>
    <t>spotify:album:0XclkMPoy9RZWvp1lwT29v</t>
  </si>
  <si>
    <t>Sorriso Eu Gosto No Pagode - Parte 1 (Ao Vivo)</t>
  </si>
  <si>
    <t>spotify:album:4YxPiDQY2qbVb0tJHEhAxS</t>
  </si>
  <si>
    <t>BK, Gigantes, JXNV$</t>
  </si>
  <si>
    <t>ICARUS</t>
  </si>
  <si>
    <t>spotify:album:3TAdD0NlcZTlkoVfpPhQJa</t>
  </si>
  <si>
    <t>Panda Sem Moderação, Vol. 1 (Ao Vivo)</t>
  </si>
  <si>
    <t>spotify:album:0kVr8PFSSxtjM4AxdY0WFV</t>
  </si>
  <si>
    <t>Ao Vivo em Brasília (Vol.2)</t>
  </si>
  <si>
    <t>spotify:album:4wWcEDnoNouCJrinW8bghO</t>
  </si>
  <si>
    <t>Intenso (Ao Vivo)</t>
  </si>
  <si>
    <t>spotify:album:2pHdbp86D4AfZkSu3MVHTg</t>
  </si>
  <si>
    <t>Ao Vivo Em Brasília (Deluxe)</t>
  </si>
  <si>
    <t>spotify:album:6PlcH8kJmbJIagbWVuqHz7</t>
  </si>
  <si>
    <t>Diego &amp; Victor Hugo Ao Vivo em Brasília</t>
  </si>
  <si>
    <t>spotify:album:6laUDBtyfu4ngRbOsblhfS</t>
  </si>
  <si>
    <t>João Gomes, Mestrinho, Jota.pê</t>
  </si>
  <si>
    <t>Dominguinho</t>
  </si>
  <si>
    <t>JG Shows</t>
  </si>
  <si>
    <t>spotify:album:6nE1C92IIZQBnlYLxObRHW</t>
  </si>
  <si>
    <t>Live In London - At The Royal Albert Hall (Ao Vivo)</t>
  </si>
  <si>
    <t>spotify:album:0spzPH10djjrUshMB2z9jt</t>
  </si>
  <si>
    <t>Os Anjos Cantam</t>
  </si>
  <si>
    <t>spotify:album:6ehm0SMBBoSxH8oSrFXre6</t>
  </si>
  <si>
    <t>spotify:album:4NqeEHz29Ime2EZV8AUHkh</t>
  </si>
  <si>
    <t>Let's Go Rodeo</t>
  </si>
  <si>
    <t>spotify:album:4mXp1YcjxA9i8PrIdpM8dH</t>
  </si>
  <si>
    <t>Cantando Sua História (Ao Vivo / Vol.2)</t>
  </si>
  <si>
    <t>spotify:album:39nlfd4MoNcVGgvx64Opnt</t>
  </si>
  <si>
    <t>Escândalo Íntimo</t>
  </si>
  <si>
    <t>spotify:album:66B1s482joKfoY31JMcw8m</t>
  </si>
  <si>
    <t>Menor do Desacato</t>
  </si>
  <si>
    <t>spotify:album:4S9yXoEJxk13SHsFsnYLcm</t>
  </si>
  <si>
    <t>Ferrugem 10 Anos, Vol. 1: O Início (Ao Vivo)</t>
  </si>
  <si>
    <t>spotify:album:2uNEA9woVB0GKJuv4vA9Af</t>
  </si>
  <si>
    <t>Numanice #3 (Ao Vivo)</t>
  </si>
  <si>
    <t>spotify:album:5ef3YHfeGQd6JW056VmKiy</t>
  </si>
  <si>
    <t>Acústico - Ao Vivo</t>
  </si>
  <si>
    <t>spotify:album:2859TN8HzzAsM8qNgaw60e</t>
  </si>
  <si>
    <t>Na Praia (Ao Vivo)</t>
  </si>
  <si>
    <t>spotify:album:2cgUy966sjetpYuW3HXRx5</t>
  </si>
  <si>
    <t>Bem-Vindo ao Meu Mundo - Forró &amp; Vaquejada (Ao Vivo)</t>
  </si>
  <si>
    <t>spotify:album:4dmdQ4uriuehLMFwY6SAKQ</t>
  </si>
  <si>
    <t>Arrocha Safadão</t>
  </si>
  <si>
    <t>spotify:album:6iGvvnauoKKjkutnB2b7lB</t>
  </si>
  <si>
    <t>Menos É Mais (Ao Vivo)</t>
  </si>
  <si>
    <t>spotify:album:0RQmJsjyVrI8sUuKIKwQSC</t>
  </si>
  <si>
    <t>A Boa Parte (Ao Vivo)</t>
  </si>
  <si>
    <t>spotify:album:56aq4YZgJpBwmJRyuN3B8X</t>
  </si>
  <si>
    <t>Natanzinho em BH (Ao Vivo)</t>
  </si>
  <si>
    <t>spotify:album:43Z8iIpoxaCrr27KILZJzs</t>
  </si>
  <si>
    <t>Tem Moda Pra Tudo (Ao Vivo)</t>
  </si>
  <si>
    <t>spotify:album:0tBnLmuDb9EtemunXfCMeD</t>
  </si>
  <si>
    <t>Escolhas (Ao Vivo)</t>
  </si>
  <si>
    <t>spotify:album:6J8zN2iOjJzMwNJ6oI75dN</t>
  </si>
  <si>
    <t>Na Praia 2 (Ao Vivo)</t>
  </si>
  <si>
    <t>spotify:album:4TcZpyEt3wrOtMdK0gknMz</t>
  </si>
  <si>
    <t>Como. Sempre Feito. Nunca (Ao Vivo)</t>
  </si>
  <si>
    <t>spotify:album:2PRDU8Oeb9f0lpgSjbaJXE</t>
  </si>
  <si>
    <t>Coisas Naturais</t>
  </si>
  <si>
    <t>spotify:album:4xemDx7QFi5hUSETm5auUv</t>
  </si>
  <si>
    <t>Vagabundo de Luxo</t>
  </si>
  <si>
    <t>spotify:album:1N4vxCa92pFS7jdcLBTOqu</t>
  </si>
  <si>
    <t>Turma no Quintal (Ao Vivo)</t>
  </si>
  <si>
    <t>spotify:album:5p2auLiTOfPNkdlKyW5eM8</t>
  </si>
  <si>
    <t>Intenso, Vol. 3 (Ao Vivo)</t>
  </si>
  <si>
    <t>spotify:album:4rqK6xBQRRn9jBrHRQ3J2w</t>
  </si>
  <si>
    <t>Confia (Ao Vivo)</t>
  </si>
  <si>
    <t>spotify:album:3KSUugIymD7LtFhYz7Q40O</t>
  </si>
  <si>
    <t>Meu Carona</t>
  </si>
  <si>
    <t>Hungria Hip Hop</t>
  </si>
  <si>
    <t>spotify:album:5oFcg58VXbLAvFFHEy4hd4</t>
  </si>
  <si>
    <t>Equilíbrio (Ao Vivo)</t>
  </si>
  <si>
    <t>spotify:album:1Ij4W57fdHldgasZl7HYPu</t>
  </si>
  <si>
    <t>Eu Odeio o Dia dos Namorados</t>
  </si>
  <si>
    <t>spotify:album:3a6T0jJ6mF4KpBYvKH5o7Z</t>
  </si>
  <si>
    <t>Escolhas, Vol. 2 (Ao Vivo)</t>
  </si>
  <si>
    <t>spotify:album:4WTmjVL1HD0QQCiht2scSM</t>
  </si>
  <si>
    <t>Dos Prédios</t>
  </si>
  <si>
    <t>spotify:album:1nvgIwTyHcYpxu5Xk6o0ZY</t>
  </si>
  <si>
    <t>Uma Só Voz - Vol. 01 (Ao Vivo)</t>
  </si>
  <si>
    <t>spotify:album:6fgLXQA1I40kOPXy8G4BK8</t>
  </si>
  <si>
    <t>CAOS</t>
  </si>
  <si>
    <t>ALEE</t>
  </si>
  <si>
    <t>spotify:album:2d16MsbSMtv2snzc2FPwsg</t>
  </si>
  <si>
    <t>Na Pegada da Talita</t>
  </si>
  <si>
    <t>spotify:album:1kNwLPweR4ieuoGvbm1kP1</t>
  </si>
  <si>
    <t>Tribalistas</t>
  </si>
  <si>
    <t>Phonomotor</t>
  </si>
  <si>
    <t>spotify:album:26A68nUfZ08rQSrwjSdcR5</t>
  </si>
  <si>
    <t>Engenheiros Do Hawaii</t>
  </si>
  <si>
    <t>Acústico (Ao Vivo / Deluxe)</t>
  </si>
  <si>
    <t>spotify:album:7lLjDECsr4tJUs0BEulGbU</t>
  </si>
  <si>
    <t>Cintilante (Ao Vivo / Vol.2)</t>
  </si>
  <si>
    <t>spotify:album:74v9BLECHPqKGRLfa24LRn</t>
  </si>
  <si>
    <t>Imaterial (Deluxe)</t>
  </si>
  <si>
    <t>spotify:album:4MZyVJWwsW7tCeYCAFHYQz</t>
  </si>
  <si>
    <t>Sonho por Sonho</t>
  </si>
  <si>
    <t>spotify:album:7g1gfivaZsOOuf0a6Z1vsj</t>
  </si>
  <si>
    <t>Lobo</t>
  </si>
  <si>
    <t>spotify:album:2uWVAReCZBKft4bKCDSEMy</t>
  </si>
  <si>
    <t>Um Novo Sonho (Deluxe)</t>
  </si>
  <si>
    <t>spotify:album:3peXanTmqg8M1x1EUdGsbX</t>
  </si>
  <si>
    <t>Lado A, Lado B (Ao Vivo em São Paulo)</t>
  </si>
  <si>
    <t>spotify:album:0Pz2s3BtUdMlf8K7MQ1OmN</t>
  </si>
  <si>
    <t>A Hora É Agora (Ao Vivo Em Jurerê)</t>
  </si>
  <si>
    <t>spotify:album:4HpiwfnQvs867JNWeLy1vr</t>
  </si>
  <si>
    <t>Todos Os Cantos, Vol. 1 (Ao Vivo)</t>
  </si>
  <si>
    <t>spotify:album:4ILheZBIdfuSt6cjQRsWiB</t>
  </si>
  <si>
    <t>spotify:album:7s2MXOVpIWBNcfnHGCDh3v</t>
  </si>
  <si>
    <t>Churrasquinho Menos É Mais (Ao Vivo)</t>
  </si>
  <si>
    <t>spotify:album:3c1EWuqoXW71z03rvyogVr</t>
  </si>
  <si>
    <t>Embaixador Acústico - Ao Vivo</t>
  </si>
  <si>
    <t>spotify:album:6Ls690GTjzbU4YNHnyCg1M</t>
  </si>
  <si>
    <t>Zezé Di Camargo &amp; Luciano 1995</t>
  </si>
  <si>
    <t>spotify:album:6v9Ul1m0zyx9G3uwv8jRhu</t>
  </si>
  <si>
    <t>Raiz Goiânia (Ao Vivo)</t>
  </si>
  <si>
    <t>spotify:album:3Cjn6aliQrVp6MPiU4oAdw</t>
  </si>
  <si>
    <t>MAIOR QUE O TEMPO</t>
  </si>
  <si>
    <t>spotify:album:6oXMHZ4TuFId1OgRb4Eb3Y</t>
  </si>
  <si>
    <t>Música Popular Caiçara: Edição Luxo (Ao Vivo)</t>
  </si>
  <si>
    <t>spotify:album:3JerPKp1t9OlQBPG1Uhou4</t>
  </si>
  <si>
    <t>Sorriso Maroto As Antigas (Ao Vivo)</t>
  </si>
  <si>
    <t>spotify:album:5XemDAjsXAgz0abzf5Adwq</t>
  </si>
  <si>
    <t>Revel</t>
  </si>
  <si>
    <t>Tudubom Records</t>
  </si>
  <si>
    <t>spotify:album:5EOY7EuE83D9oSeT9eR9ry</t>
  </si>
  <si>
    <t>Realidade (Ao Vivo Em Manaus)</t>
  </si>
  <si>
    <t>spotify:album:0D59BFMmnA87oPyk1oSe1b</t>
  </si>
  <si>
    <t>Dos Prédios Deluxe</t>
  </si>
  <si>
    <t>Supernova Entertainment Under Exclusive License to UnitedMasters</t>
  </si>
  <si>
    <t>spotify:album:3KOm7ouLh0kOz6sJ8AdpVI</t>
  </si>
  <si>
    <t>2ZDinizz</t>
  </si>
  <si>
    <t>PATRONO</t>
  </si>
  <si>
    <t>spotify:album:4OCJTpOLqSgysGY4yBCGhn</t>
  </si>
  <si>
    <t>Dois</t>
  </si>
  <si>
    <t>spotify:album:4sB8eASUZfGxo2ZZ2lLwkG</t>
  </si>
  <si>
    <t>LUME</t>
  </si>
  <si>
    <t>spotify:album:1l8K5fgYz4J0ZZyjMVd6Q1</t>
  </si>
  <si>
    <t>Imunidade Musical</t>
  </si>
  <si>
    <t>spotify:album:28MLfO3QWZB7lKz73TDdvs</t>
  </si>
  <si>
    <t>ASTRO</t>
  </si>
  <si>
    <t>spotify:album:7gwGaysu2qgDaz9Q1iA55r</t>
  </si>
  <si>
    <t>Traia Acústico (Ao Vivo)</t>
  </si>
  <si>
    <t>spotify:album:0fFmKxC1JA1Bt56zkpwVMF</t>
  </si>
  <si>
    <t>Vivaz</t>
  </si>
  <si>
    <t>spotify:album:0YjB0YhxamEA5CgPJrWdAb</t>
  </si>
  <si>
    <t>Mixtape Supernova Vol.1</t>
  </si>
  <si>
    <t>spotify:album:4qmdgVyprepD8MAfzp27zV</t>
  </si>
  <si>
    <t>Plano Piloto</t>
  </si>
  <si>
    <t>spotify:album:05O0Z1S7MeE49h8krhErzy</t>
  </si>
  <si>
    <t>Vida Cara</t>
  </si>
  <si>
    <t>spotify:album:0tbiBipiOorOAnL7XWFbgt</t>
  </si>
  <si>
    <t>Camisa 10 joga bola até na chuva</t>
  </si>
  <si>
    <t>spotify:album:1KNhNeWBVyrJSdhG1MAxWW</t>
  </si>
  <si>
    <t>O Nosso Tempo É Hoje (ao Vivo)</t>
  </si>
  <si>
    <t>spotify:album:43Q8jiKg8whuFnVCwA1xOC</t>
  </si>
  <si>
    <t>COR</t>
  </si>
  <si>
    <t>spotify:album:28Lv7ceh2zuFe07xCq3n6X</t>
  </si>
  <si>
    <t>As Melhores... Até Aqui</t>
  </si>
  <si>
    <t>spotify:album:7JQOsu9hNR9mNmohxQm3Gu</t>
  </si>
  <si>
    <t>spotify:album:7fz0LjhhtCt4Y8HDqLTNpt</t>
  </si>
  <si>
    <t>Vitor Limma</t>
  </si>
  <si>
    <t>Pagodes Mais Tocados Vol.1</t>
  </si>
  <si>
    <t>spotify:album:7IrTWvmwWzNs06jd3kEyMQ</t>
  </si>
  <si>
    <t>Praiou (Ao Vivo / Vol.3)</t>
  </si>
  <si>
    <t>spotify:album:6KD10xly79MXn1PT0dns6D</t>
  </si>
  <si>
    <t>spotify:album:7EPROKycuy8kgYCHsHFJu8</t>
  </si>
  <si>
    <t>O Mundo É Tão Pequeno</t>
  </si>
  <si>
    <t>spotify:album:2EchsU6OhbnsZdlSUzqRsC</t>
  </si>
  <si>
    <t>Paraíso Particular (Ao Vivo)</t>
  </si>
  <si>
    <t>spotify:album:37nwqMqf3kqIsssO30l8MG</t>
  </si>
  <si>
    <t>O Embaixador (Ao Vivo)</t>
  </si>
  <si>
    <t>spotify:album:0YSpRv5TQFxz2im8ijEglV</t>
  </si>
  <si>
    <t>LITTLE LOVE</t>
  </si>
  <si>
    <t>Bairro 13</t>
  </si>
  <si>
    <t>spotify:album:1UzrzuOmZfBgXyS3pgKD10</t>
  </si>
  <si>
    <t>Sobrevivendo no Inferno</t>
  </si>
  <si>
    <t>Cosa Nostra</t>
  </si>
  <si>
    <t>spotify:album:6fEAuJNkuAFCUJms25Konq</t>
  </si>
  <si>
    <t>Uma Nova História (ao Vivo)</t>
  </si>
  <si>
    <t>Faz Chover Produções LTDA.</t>
  </si>
  <si>
    <t>spotify:album:2hqitsZt4GZdgn7lFxw08S</t>
  </si>
  <si>
    <t>Mixtape Chiró</t>
  </si>
  <si>
    <t>spotify:album:1sikBy4Cu6l99M6Sd6mDdu</t>
  </si>
  <si>
    <t>Numanice #2 (Ao Vivo)</t>
  </si>
  <si>
    <t>spotify:album:3VuG0tXa329ci3sYF5lL5m</t>
  </si>
  <si>
    <t>Maxximum - Zezé Di Camargo &amp; Luciano</t>
  </si>
  <si>
    <t>spotify:album:0Lo0mXzAAVAjuxyuYHWVZ1</t>
  </si>
  <si>
    <t>Fortaleza (Ao Vivo)</t>
  </si>
  <si>
    <t>spotify:album:2TaKpYGPgN5eTnwwBU0rU2</t>
  </si>
  <si>
    <t>Ao Vivo Em Palmas</t>
  </si>
  <si>
    <t>spotify:album:7c9JFzc1kixcgEajic0Rsn</t>
  </si>
  <si>
    <t>Alexandre Pires</t>
  </si>
  <si>
    <t>Pagonejo Bão - Vol. 02 (Ao Vivo)</t>
  </si>
  <si>
    <t>spotify:album:6v3Gy1KXnDg0pYTmh1cc9Z</t>
  </si>
  <si>
    <t>Pablo 20 ANOS, Pt.1 (Ao Vivo)</t>
  </si>
  <si>
    <t>Ag Music</t>
  </si>
  <si>
    <t>spotify:album:0JDZhfDT24lh3OYX0NKU9I</t>
  </si>
  <si>
    <t>Ninguém Tá Puro!</t>
  </si>
  <si>
    <t>spotify:album:1SXOjReTOGWZo79wMUR0v3</t>
  </si>
  <si>
    <t>Virado No Pagode (Ao Vivo)</t>
  </si>
  <si>
    <t>spotify:album:0ni6zhrp00jfoI0lswSrGv</t>
  </si>
  <si>
    <t>Churrasquinho Menos É Mais, Vol. 2</t>
  </si>
  <si>
    <t>spotify:album:7LTRGI9fTyJjXxYIuGjGQy</t>
  </si>
  <si>
    <t>Gustavo Mioto Ao Vivo Em São Paulo</t>
  </si>
  <si>
    <t>spotify:album:50BunNkS3kyyZcWxsWicBq</t>
  </si>
  <si>
    <t>Ao Vivo No Olimpo</t>
  </si>
  <si>
    <t>Deckdisc</t>
  </si>
  <si>
    <t>Ariola</t>
  </si>
  <si>
    <t>spotify:album:5RKDlGGlfI4ylZDmJpzGlv</t>
  </si>
  <si>
    <t>Atravessando Gerações, Vol. 29</t>
  </si>
  <si>
    <t>MJR Digital</t>
  </si>
  <si>
    <t>spotify:album:6yZW67bqAHrObpA9YoGnZI</t>
  </si>
  <si>
    <t>Vizinhança do Bigode</t>
  </si>
  <si>
    <t>spotify:album:6tmXf43FBVDqp3bnoLzzrj</t>
  </si>
  <si>
    <t>Revivem Sua História (Ao Vivo Em Belo Horizonte)</t>
  </si>
  <si>
    <t>spotify:album:5nGde95l1DJcFZCB3NOduX</t>
  </si>
  <si>
    <t>Cristiano Araújo</t>
  </si>
  <si>
    <t>In The Cities - Ao Vivo Em Cuiabá</t>
  </si>
  <si>
    <t>spotify:album:1x2y04H5qSXOU9tzDZVT9i</t>
  </si>
  <si>
    <t>Natiruts Acústico no Rio de Janeiro (Ao Vivo)</t>
  </si>
  <si>
    <t>spotify:album:6z8nG4kqSo7LYcWYef66Jr</t>
  </si>
  <si>
    <t>Calcinha Preta</t>
  </si>
  <si>
    <t>As 20 +</t>
  </si>
  <si>
    <t>Faz Mídia</t>
  </si>
  <si>
    <t>spotify:album:6QGRzRxQ5bn8E8MvDAlDy3</t>
  </si>
  <si>
    <t>Chico Rey &amp; Paraná</t>
  </si>
  <si>
    <t>Chico Rey &amp; Paraná - Acústico, Vol. 13</t>
  </si>
  <si>
    <t>Atração</t>
  </si>
  <si>
    <t>Roberto Carlos</t>
  </si>
  <si>
    <t>Sony BMG Music Entertainment</t>
  </si>
  <si>
    <t>spotify:album:7eKb9OUJogXHVngYaCxTCR</t>
  </si>
  <si>
    <t>Ao Vivo em São José do Rio Preto (Deluxe)</t>
  </si>
  <si>
    <t>Rank</t>
  </si>
  <si>
    <t>YouTube URL</t>
  </si>
  <si>
    <t>Video Title</t>
  </si>
  <si>
    <t>Previous Rank</t>
  </si>
  <si>
    <t>Periods on Chart</t>
  </si>
  <si>
    <t>https://www.youtube.com/watch?v=eAIivxKZYZw</t>
  </si>
  <si>
    <t>P do Pecado (Ao Vivo)</t>
  </si>
  <si>
    <t>1</t>
  </si>
  <si>
    <t>https://www.youtube.com/watch?v=10XarNSkw0s</t>
  </si>
  <si>
    <t>Tubarões (Ao Vivo)</t>
  </si>
  <si>
    <t>2</t>
  </si>
  <si>
    <t>https://www.youtube.com/watch?v=WLhMxtuZr70</t>
  </si>
  <si>
    <t>Apaga Apaga Apaga (Ao Vivo)</t>
  </si>
  <si>
    <t>3</t>
  </si>
  <si>
    <t>https://www.youtube.com/watch?v=tvPSPkugS7A</t>
  </si>
  <si>
    <t>Melzinho (Live)</t>
  </si>
  <si>
    <t>4</t>
  </si>
  <si>
    <t>https://www.youtube.com/watch?v=n5wxZ_OBUXk</t>
  </si>
  <si>
    <t>Coração Partido (Ao Vivo)</t>
  </si>
  <si>
    <t>5</t>
  </si>
  <si>
    <t>https://www.youtube.com/watch?v=KzPau_0Ad7o</t>
  </si>
  <si>
    <t>Me Apaixonei Nessa Morena (Ao Vivo)</t>
  </si>
  <si>
    <t>7</t>
  </si>
  <si>
    <t>https://www.youtube.com/watch?v=uEtGTq92Cmk</t>
  </si>
  <si>
    <t>Saudade Proibida (Ao Vivo)</t>
  </si>
  <si>
    <t>9</t>
  </si>
  <si>
    <t>https://www.youtube.com/watch?v=9Vt4XguN2-A</t>
  </si>
  <si>
    <t>Última Saudade (Ao Vivo)</t>
  </si>
  <si>
    <t>8</t>
  </si>
  <si>
    <t>https://www.youtube.com/watch?v=iYjz1Ap1VvU</t>
  </si>
  <si>
    <t>Pela Última Vez (Ao Vivo)</t>
  </si>
  <si>
    <t>6</t>
  </si>
  <si>
    <t>https://www.youtube.com/watch?v=KjdmmvEzGoc</t>
  </si>
  <si>
    <t>Página de Amigos / Inevitável / Flor (Ao Vivo)</t>
  </si>
  <si>
    <t>13</t>
  </si>
  <si>
    <t>https://www.youtube.com/watch?v=Xxd0-MBsOBs</t>
  </si>
  <si>
    <t>Melody</t>
  </si>
  <si>
    <t>11</t>
  </si>
  <si>
    <t>https://www.youtube.com/watch?v=-ovQ3j_LG_c</t>
  </si>
  <si>
    <t>Seja Ex (Ao Vivo)</t>
  </si>
  <si>
    <t>14</t>
  </si>
  <si>
    <t>https://www.youtube.com/watch?v=HD2sMiAwpCQ</t>
  </si>
  <si>
    <t>19</t>
  </si>
  <si>
    <t>https://www.youtube.com/watch?v=S6JpneypYvc</t>
  </si>
  <si>
    <t>Até Você Voltar</t>
  </si>
  <si>
    <t>16</t>
  </si>
  <si>
    <t>n/a</t>
  </si>
  <si>
    <t>https://www.youtube.com/watch?v=OJYWaEWYAfo</t>
  </si>
  <si>
    <t>Eu Vou Na Sua Casa</t>
  </si>
  <si>
    <t>18</t>
  </si>
  <si>
    <t>https://www.youtube.com/watch?v=QluYQ5eRQ3g</t>
  </si>
  <si>
    <t>https://www.youtube.com/watch?v=lsv3A5fw6no</t>
  </si>
  <si>
    <t>Búfalo Do Marajó - Ao Vivo</t>
  </si>
  <si>
    <t>22</t>
  </si>
  <si>
    <t>https://www.youtube.com/watch?v=-od5WTyqjBo</t>
  </si>
  <si>
    <t>Meu Jeito de Amar</t>
  </si>
  <si>
    <t>28</t>
  </si>
  <si>
    <t>https://www.youtube.com/watch?v=0ZF5em0MTwY</t>
  </si>
  <si>
    <t>QUEM É ESSE? (AO VIVO)</t>
  </si>
  <si>
    <t>https://www.youtube.com/watch?v=J8kbUgAFq4s</t>
  </si>
  <si>
    <t>20</t>
  </si>
  <si>
    <t>https://www.youtube.com/watch?v=Yi4MQecGdfA</t>
  </si>
  <si>
    <t>23</t>
  </si>
  <si>
    <t>https://www.youtube.com/watch?v=nclqEBJIxWk</t>
  </si>
  <si>
    <t>27</t>
  </si>
  <si>
    <t>https://www.youtube.com/watch?v=M_eOUE6pFKY</t>
  </si>
  <si>
    <t>29</t>
  </si>
  <si>
    <t>https://www.youtube.com/watch?v=imPS7DMbx0Q</t>
  </si>
  <si>
    <t>Baqueado (Ao Vivo)</t>
  </si>
  <si>
    <t>https://www.youtube.com/watch?v=Ds200TtR97o</t>
  </si>
  <si>
    <t>Kemilly Santos</t>
  </si>
  <si>
    <t>Deus de Obras Completas (Ao Vivo)</t>
  </si>
  <si>
    <t>https://www.youtube.com/watch?v=VKVHDnMopkc</t>
  </si>
  <si>
    <t>THE BOX MEDLEY FUNK 6</t>
  </si>
  <si>
    <t>26</t>
  </si>
  <si>
    <t>https://www.youtube.com/watch?v=EFcfnJCOs2s</t>
  </si>
  <si>
    <t>To Com Uma Novinha Mídia 🍀</t>
  </si>
  <si>
    <t>24</t>
  </si>
  <si>
    <t>38</t>
  </si>
  <si>
    <t>https://www.youtube.com/watch?v=OE-4Dh8VH1U</t>
  </si>
  <si>
    <t>Tiee</t>
  </si>
  <si>
    <t>Me Redimir / Tudo Fica Blue (Ao Vivo)</t>
  </si>
  <si>
    <t>34</t>
  </si>
  <si>
    <t>Jejum de Amor / Caixa Postal / Vida Vazia (Ao Vivo)</t>
  </si>
  <si>
    <t>32</t>
  </si>
  <si>
    <t>https://www.youtube.com/watch?v=Sck0ayLyzD8</t>
  </si>
  <si>
    <t>Tarde Demais / Mágica / Oh! Chuva (Ao Vivo)</t>
  </si>
  <si>
    <t>31</t>
  </si>
  <si>
    <t>https://www.youtube.com/watch?v=w4q-antIDz0</t>
  </si>
  <si>
    <t>Bebê Confesso 2</t>
  </si>
  <si>
    <t>25</t>
  </si>
  <si>
    <t>Se Não Tivesse Ido</t>
  </si>
  <si>
    <t>17</t>
  </si>
  <si>
    <t>https://www.youtube.com/watch?v=T67WZx7CxY8</t>
  </si>
  <si>
    <t>39</t>
  </si>
  <si>
    <t>https://www.youtube.com/watch?v=C6QbAV1rlxM</t>
  </si>
  <si>
    <t>Manifesto #1 - A Rua Cercada Por Divisão</t>
  </si>
  <si>
    <t>30</t>
  </si>
  <si>
    <t>41</t>
  </si>
  <si>
    <t>NÃO ERA LOVE</t>
  </si>
  <si>
    <t>43</t>
  </si>
  <si>
    <t>https://www.youtube.com/watch?v=F0rxQmQiPZw</t>
  </si>
  <si>
    <t>Cópia Proibida (Ao Vivo)</t>
  </si>
  <si>
    <t>59</t>
  </si>
  <si>
    <t>10</t>
  </si>
  <si>
    <t>https://www.youtube.com/watch?v=Ps2z_3zDzhs</t>
  </si>
  <si>
    <t>Amor de Fim de Noite / Por Favor / Nem Aí (Ao Vivo)</t>
  </si>
  <si>
    <t>https://www.youtube.com/watch?v=RMklSRQdm9Q</t>
  </si>
  <si>
    <t>DONA (Ao Vivo)</t>
  </si>
  <si>
    <t>45</t>
  </si>
  <si>
    <t>https://www.youtube.com/watch?v=ZaldivkxAtc</t>
  </si>
  <si>
    <t>Novo Eu (Ao Vivo)</t>
  </si>
  <si>
    <t>https://www.youtube.com/watch?v=6BgxLcofzoo</t>
  </si>
  <si>
    <t>https://www.youtube.com/watch?v=o4i_GbP5B2o</t>
  </si>
  <si>
    <t>Bobbie Goods</t>
  </si>
  <si>
    <t>https://www.youtube.com/watch?v=_ZMNiD9cal8</t>
  </si>
  <si>
    <t>https://www.youtube.com/watch?v=h14edGi7pTA</t>
  </si>
  <si>
    <t>Medo Bobo (Ao Vivo | Acústico)</t>
  </si>
  <si>
    <t>https://www.youtube.com/watch?v=UpX0SKEBYBY</t>
  </si>
  <si>
    <t>Saudade De Quem Eu Sou (Ao Vivo)</t>
  </si>
  <si>
    <t>https://www.youtube.com/watch?v=-WloA4ia7aI</t>
  </si>
  <si>
    <t>DNA do Mato (Ao Vivo)</t>
  </si>
  <si>
    <t>https://www.youtube.com/watch?v=01I9321tRt4</t>
  </si>
  <si>
    <t>VOCÊ E SUA AMIGUINHA (Ao Vivo)</t>
  </si>
  <si>
    <t>65</t>
  </si>
  <si>
    <t>https://www.youtube.com/watch?v=G0KlH_FjQW8</t>
  </si>
  <si>
    <t>Eu Menti (Ao Vivo)</t>
  </si>
  <si>
    <t>https://www.youtube.com/watch?v=6NvkZY-va0E</t>
  </si>
  <si>
    <t>Um Novo Dia (LIVE)</t>
  </si>
  <si>
    <t>Princesa (Ao Vivo)</t>
  </si>
  <si>
    <t>60</t>
  </si>
  <si>
    <t>12</t>
  </si>
  <si>
    <t>https://www.youtube.com/watch?v=1WejNRw8C_U</t>
  </si>
  <si>
    <t>Pot-Pourri: Fogueira / Prisão Sem Grade (Ao Vivo)</t>
  </si>
  <si>
    <t>https://www.youtube.com/watch?v=0kiCQLdfgVg</t>
  </si>
  <si>
    <t>Amor Dos Outros (Ao Vivo)</t>
  </si>
  <si>
    <t>https://www.youtube.com/watch?v=zZUyiqR7rNM</t>
  </si>
  <si>
    <t>EU ATÉ GOSTO DE VOCÊ</t>
  </si>
  <si>
    <t>63</t>
  </si>
  <si>
    <t>66</t>
  </si>
  <si>
    <t>https://www.youtube.com/watch?v=frfd45-rEHE</t>
  </si>
  <si>
    <t>WIU - Rolê de Sempre</t>
  </si>
  <si>
    <t>Aquele Lugar (Ao Vivo)</t>
  </si>
  <si>
    <t>Classificação</t>
  </si>
  <si>
    <t>Link Externo</t>
  </si>
  <si>
    <t>Artistas</t>
  </si>
  <si>
    <t>Faixa</t>
  </si>
  <si>
    <t>Gravadora</t>
  </si>
  <si>
    <t>Posição de Pico</t>
  </si>
  <si>
    <t>Dias na Tabela</t>
  </si>
  <si>
    <t>https://deezer.com/track/3329623921</t>
  </si>
  <si>
    <t>https://deezer.com/track/2954217391</t>
  </si>
  <si>
    <t>https://deezer.com/track/3217178811</t>
  </si>
  <si>
    <t>https://deezer.com/track/3006129581</t>
  </si>
  <si>
    <t>https://deezer.com/track/2916157971</t>
  </si>
  <si>
    <t>https://deezer.com/track/3215895861</t>
  </si>
  <si>
    <t>https://deezer.com/track/3499654751</t>
  </si>
  <si>
    <t>Grupo Menos É Mais, Nattan</t>
  </si>
  <si>
    <t>https://deezer.com/track/3189321571</t>
  </si>
  <si>
    <t>https://deezer.com/track/3266863361</t>
  </si>
  <si>
    <t>https://deezer.com/track/2935875381</t>
  </si>
  <si>
    <t>https://deezer.com/track/3168044101</t>
  </si>
  <si>
    <t>https://deezer.com/track/3411783221</t>
  </si>
  <si>
    <t>Felipe Amorim, Vitão, Bin, Malibu</t>
  </si>
  <si>
    <t>https://deezer.com/track/3064886081</t>
  </si>
  <si>
    <t>https://deezer.com/track/3374515221</t>
  </si>
  <si>
    <t>https://deezer.com/track/3298437061</t>
  </si>
  <si>
    <t>https://deezer.com/track/2714500592</t>
  </si>
  <si>
    <t>https://deezer.com/track/3198382131</t>
  </si>
  <si>
    <t>https://deezer.com/track/3075887141</t>
  </si>
  <si>
    <t>https://deezer.com/track/3427845441</t>
  </si>
  <si>
    <t>https://deezer.com/track/3366075051</t>
  </si>
  <si>
    <t>https://deezer.com/track/1214741772</t>
  </si>
  <si>
    <t>https://deezer.com/track/2436043225</t>
  </si>
  <si>
    <t>https://deezer.com/track/3495687821</t>
  </si>
  <si>
    <t>https://deezer.com/track/3129041501</t>
  </si>
  <si>
    <t>https://deezer.com/track/3366908931</t>
  </si>
  <si>
    <t>Acertei Produções</t>
  </si>
  <si>
    <t>https://deezer.com/track/2867481312</t>
  </si>
  <si>
    <t>https://deezer.com/track/3329623931</t>
  </si>
  <si>
    <t>https://deezer.com/track/2896864941</t>
  </si>
  <si>
    <t>https://deezer.com/track/3212088191</t>
  </si>
  <si>
    <t>Proibido Terminar - Ao Vivo</t>
  </si>
  <si>
    <t>https://deezer.com/track/3200844201</t>
  </si>
  <si>
    <t>https://deezer.com/track/2976325991</t>
  </si>
  <si>
    <t>https://deezer.com/track/3006129591</t>
  </si>
  <si>
    <t>https://deezer.com/track/3414200311</t>
  </si>
  <si>
    <t>https://deezer.com/track/2983179691</t>
  </si>
  <si>
    <t>entregador de flor - #quintou ao vivo</t>
  </si>
  <si>
    <t>https://deezer.com/track/1123836942</t>
  </si>
  <si>
    <t>https://deezer.com/track/3274042271</t>
  </si>
  <si>
    <t>Natanzinho Lima, Mc Tato, Gabb MC</t>
  </si>
  <si>
    <t>Me Apaixonei Nessa Morena</t>
  </si>
  <si>
    <t>https://deezer.com/track/3013075881</t>
  </si>
  <si>
    <t>https://deezer.com/track/3210709941</t>
  </si>
  <si>
    <t>https://deezer.com/track/3281862571</t>
  </si>
  <si>
    <t>https://deezer.com/track/2898814231</t>
  </si>
  <si>
    <t>https://deezer.com/track/3358826391</t>
  </si>
  <si>
    <t>https://deezer.com/track/3460299441</t>
  </si>
  <si>
    <t>https://deezer.com/track/3250684331</t>
  </si>
  <si>
    <t>https://deezer.com/track/3135700161</t>
  </si>
  <si>
    <t>https://deezer.com/track/3184911081</t>
  </si>
  <si>
    <t>https://deezer.com/track/3060657951</t>
  </si>
  <si>
    <t>https://deezer.com/track/2103629427</t>
  </si>
  <si>
    <t>https://deezer.com/track/3284162021</t>
  </si>
  <si>
    <t>https://deezer.com/track/3069075971</t>
  </si>
  <si>
    <t>https://deezer.com/track/2728135791</t>
  </si>
  <si>
    <t>em busca da minha sorte - ao vivo</t>
  </si>
  <si>
    <t>https://deezer.com/track/2947516331</t>
  </si>
  <si>
    <t>https://deezer.com/track/2656431662</t>
  </si>
  <si>
    <t>https://deezer.com/track/3069018071</t>
  </si>
  <si>
    <t>Felipe Araújo, Luan Pereira</t>
  </si>
  <si>
    <t>Body Splash - Ao Vivo</t>
  </si>
  <si>
    <t>https://deezer.com/track/3179498111</t>
  </si>
  <si>
    <t>https://deezer.com/track/2517911951</t>
  </si>
  <si>
    <t>Sorriso Maroto, Grupo Menos É Mais, Di Propósito</t>
  </si>
  <si>
    <t>Amanhã / Loucura do Seu Coração - Ao Vivo</t>
  </si>
  <si>
    <t>https://deezer.com/track/2271799997</t>
  </si>
  <si>
    <t>Diferentão - Ao Vivo</t>
  </si>
  <si>
    <t>https://deezer.com/track/3064886071</t>
  </si>
  <si>
    <t>https://deezer.com/track/2652893202</t>
  </si>
  <si>
    <t>Jorge &amp; Mateus, Lauana Prado</t>
  </si>
  <si>
    <t>Haverá Sinais - Ao Vivo</t>
  </si>
  <si>
    <t>https://deezer.com/track/3145716341</t>
  </si>
  <si>
    <t>https://deezer.com/track/3030765481</t>
  </si>
  <si>
    <t>Nattan, Léo Foguete</t>
  </si>
  <si>
    <t>Believe</t>
  </si>
  <si>
    <t>https://deezer.com/track/2955772671</t>
  </si>
  <si>
    <t>https://deezer.com/track/2444474355</t>
  </si>
  <si>
    <t>quase algo - ao vivo em nova iorque / 2022</t>
  </si>
  <si>
    <t>https://deezer.com/track/3280963041</t>
  </si>
  <si>
    <t>https://deezer.com/track/2517910431</t>
  </si>
  <si>
    <t>Sorriso Maroto, Péricles, Ferrugem</t>
  </si>
  <si>
    <t>Sinais - Ao Vivo</t>
  </si>
  <si>
    <t>https://deezer.com/track/3035175671</t>
  </si>
  <si>
    <t>Sujeito Homem - Ao Vivo</t>
  </si>
  <si>
    <t>De Quem É A Culpa?</t>
  </si>
  <si>
    <t>https://deezer.com/track/2896300011</t>
  </si>
  <si>
    <t>https://deezer.com/track/3294865431</t>
  </si>
  <si>
    <t>Luan Pereira, MC Tuto, Grelo</t>
  </si>
  <si>
    <t>https://deezer.com/track/3453137721</t>
  </si>
  <si>
    <t>https://deezer.com/track/2869092542</t>
  </si>
  <si>
    <t>fhop music, Débora Rabelo, Hamilton Rabelo</t>
  </si>
  <si>
    <t>Tu és + Águas Purificadoras - Ao vivo</t>
  </si>
  <si>
    <t>https://deezer.com/track/1580679302</t>
  </si>
  <si>
    <t>https://deezer.com/track/3177877821</t>
  </si>
  <si>
    <t>Logo Logo - Ao Vivo</t>
  </si>
  <si>
    <t>Mentirosa - Ao Vivo</t>
  </si>
  <si>
    <t>Carona - Ao Vivo</t>
  </si>
  <si>
    <t>a noite (la notte) - ao vivo</t>
  </si>
  <si>
    <t>https://deezer.com/track/2593579002</t>
  </si>
  <si>
    <t>Lindo Momento</t>
  </si>
  <si>
    <t>PART</t>
  </si>
  <si>
    <t>Artista</t>
  </si>
  <si>
    <t>https://music.amazon.com/albums/B0DW1DS2P4?/trackAsin=B0DW1DK5ST</t>
  </si>
  <si>
    <t/>
  </si>
  <si>
    <t>https://music.amazon.com/albums/B0F5FK7NWC?/trackAsin=B0F5DTSZHL</t>
  </si>
  <si>
    <t>https://music.amazon.com/albums/B0DBC9T8Z3?/trackAsin=B0DBCB7FDG</t>
  </si>
  <si>
    <t>Peça Íntima</t>
  </si>
  <si>
    <t>https://music.amazon.com/albums/B0DZHKKDMX?/trackAsin=B0DZHM32WF</t>
  </si>
  <si>
    <t>Querendo Te Amar (Amazon Music Live) (Ao Vivo)</t>
  </si>
  <si>
    <t>https://music.amazon.com/albums/B0FJTM1C2R?/trackAsin=B0FJTJNQKX</t>
  </si>
  <si>
    <t>https://music.amazon.com/albums/B0DDMY8ZQZ?/trackAsin=B0DDMTF9HQ</t>
  </si>
  <si>
    <t>https://music.amazon.com/albums/B0FMN5ZJBH?/trackAsin=B0FMMVGG6L</t>
  </si>
  <si>
    <t>https://music.amazon.com/albums/B0F94HCB6B?/trackAsin=B0F94JNQW2</t>
  </si>
  <si>
    <t>New Music</t>
  </si>
  <si>
    <t>https://music.amazon.com/albums/B0DTQBH2X9?/trackAsin=B0DTQD2195</t>
  </si>
  <si>
    <t>https://music.amazon.com/albums/B0FFFZR5R3?/trackAsin=B0FFG7M7LF</t>
  </si>
  <si>
    <t>https://music.amazon.com/albums/B0F4VCWRV3?/trackAsin=B0F4VLPBZ4</t>
  </si>
  <si>
    <t>https://music.amazon.com/albums/B0F237LL3X?/trackAsin=B0F238NLT4</t>
  </si>
  <si>
    <t>Facas - Ao Vivo</t>
  </si>
  <si>
    <t>https://music.amazon.com/albums/B08KR9R6ZD?/trackAsin=B099W9LSQH</t>
  </si>
  <si>
    <t>Par De Olhos - Ao Vivo</t>
  </si>
  <si>
    <t>https://music.amazon.com/albums/B0FHZBYCVK?/trackAsin=B0FHZW27T7</t>
  </si>
  <si>
    <t>Outro Personagem - Ao Vivo</t>
  </si>
  <si>
    <t>https://music.amazon.com/albums/B0FDK4XC2N?/trackAsin=B0FDJV5RXZ</t>
  </si>
  <si>
    <t>https://music.amazon.com/albums/B07TJBPCV1?/trackAsin=B07TJBNZ6H</t>
  </si>
  <si>
    <t>Vou Te Amar (Cigana) (Amazon Music Live)</t>
  </si>
  <si>
    <t>https://music.amazon.com/albums/B0FKW2N2KZ?/trackAsin=B0FKWSFFX5</t>
  </si>
  <si>
    <t>https://music.amazon.com/albums/B0DTRW1B8M?/trackAsin=B0DTRXQVMY</t>
  </si>
  <si>
    <t>https://music.amazon.com/albums/B08MC2DH4L?/trackAsin=B08MC1NVX4</t>
  </si>
  <si>
    <t>https://music.amazon.com/albums/B0DT7SGPBP?/trackAsin=B0DT7RW19W</t>
  </si>
  <si>
    <t>https://music.amazon.com/albums/B0FLR9HWZR?/trackAsin=B0FLS31MC3</t>
  </si>
  <si>
    <t>Sogra</t>
  </si>
  <si>
    <t>https://music.amazon.com/albums/B08DF7X18V?/trackAsin=B08DFH82DR</t>
  </si>
  <si>
    <t>https://music.amazon.com/albums/B0DVM39BZ4?/trackAsin=B0DVMCGQ3R</t>
  </si>
  <si>
    <t>https://music.amazon.com/albums/B0FD256Q8D?/trackAsin=B0FD256Q8F</t>
  </si>
  <si>
    <t>https://music.amazon.com/albums/B0F5DTMYRJ?/trackAsin=B0F5F379GZ</t>
  </si>
  <si>
    <t>https://music.amazon.com/albums/B0F2QTMLKF?/trackAsin=B0F2QXFJ3L</t>
  </si>
  <si>
    <t>Luccas &amp; Rodrigo</t>
  </si>
  <si>
    <t>https://music.amazon.com/albums/B0F1VCCMX3?/trackAsin=B0F1VBPDT5</t>
  </si>
  <si>
    <t>https://music.amazon.com/albums/B0FH5VCB3Y?/trackAsin=B0FH5TZ78L</t>
  </si>
  <si>
    <t>Amizade Com Ex - Ao Vivo</t>
  </si>
  <si>
    <t>https://music.amazon.com/albums/B0DPJJG16Q?/trackAsin=B0DPJJLDN4</t>
  </si>
  <si>
    <t>Último Beijo</t>
  </si>
  <si>
    <t>https://music.amazon.com/albums/B0973KS1JL?/trackAsin=B0973LG1LT</t>
  </si>
  <si>
    <t>https://music.amazon.com/albums/B0FBQD9KGH?/trackAsin=B0FBQCSPMG</t>
  </si>
  <si>
    <t>https://music.amazon.com/albums/B0FLGZRQLT?/trackAsin=B0FLH2G9GP</t>
  </si>
  <si>
    <t>Bondade de Deus</t>
  </si>
  <si>
    <t>Isaias Saad</t>
  </si>
  <si>
    <t>https://music.amazon.com/albums/B0DFZWQFP9?/trackAsin=B0DFZR9X5Q</t>
  </si>
  <si>
    <t>Bênçãos Que Não Têm Fim (Counting My Blessings)</t>
  </si>
  <si>
    <t>https://music.amazon.com/albums/B0CM5GNSVD?/trackAsin=B0CM5HKFTT</t>
  </si>
  <si>
    <t>https://music.amazon.com/albums/B0F9NWJ81L?/trackAsin=B0F9NMY6HL</t>
  </si>
  <si>
    <t>https://music.amazon.com/albums/B0FL5GDZ6G?/trackAsin=B0FL4Y7YKR</t>
  </si>
  <si>
    <t>Refém do Coração / O Amor Não Tem Culpa / S.O.S Paixão / Resumo de Felicidade</t>
  </si>
  <si>
    <t>https://music.amazon.com/albums/B09FYQFRW6?/trackAsin=B09FYRMVFY</t>
  </si>
  <si>
    <t>https://music.amazon.com/albums/B0F7ZYVYNG?/trackAsin=B0F7ZXNN7Z</t>
  </si>
  <si>
    <t>Esqueça-Me Se For Capaz</t>
  </si>
  <si>
    <t>https://music.amazon.com/albums/B09HLFQ1S9?/trackAsin=B09HLGM572</t>
  </si>
  <si>
    <t>Te Amei Em Dólar - Ao Vivo</t>
  </si>
  <si>
    <t>https://music.amazon.com/albums/B0FHBY8Z14?/trackAsin=B0FHC1B32L</t>
  </si>
  <si>
    <t>Jornal</t>
  </si>
  <si>
    <t>Matheus Marcolino</t>
  </si>
  <si>
    <t>https://music.amazon.com/albums/B0FM2HF6KS?/trackAsin=B0FM235HCG</t>
  </si>
  <si>
    <t>https://music.amazon.com/albums/B0D8FFQDHG?/trackAsin=B0D8F9WZ7N</t>
  </si>
  <si>
    <t>Mal Feito - Ao Vivo</t>
  </si>
  <si>
    <t>https://music.amazon.com/albums/B0B7C59QKR?/trackAsin=B0B7BBGDZL</t>
  </si>
  <si>
    <t>Me Ame Mais</t>
  </si>
  <si>
    <t>https://music.amazon.com/albums/B0926Y1FVB?/trackAsin=B0927BQCQF</t>
  </si>
  <si>
    <t>https://music.amazon.com/albums/B0DVKJ3PKW?/trackAsin=B0DVKTPCX3</t>
  </si>
  <si>
    <t>https://music.amazon.com/albums/B0DSY19T6H?/trackAsin=B0DSY1FCMR</t>
  </si>
  <si>
    <t>Wi-Fi - Ao Vivo</t>
  </si>
  <si>
    <t>https://music.amazon.com/albums/B0D8JZDXZZ?/trackAsin=B0D8JZ78LZ</t>
  </si>
  <si>
    <t>Boate Azul - Ao Vivo</t>
  </si>
  <si>
    <t>https://music.amazon.com/albums/B002B0QGFA?/trackAsin=B002B0MZT6</t>
  </si>
  <si>
    <t>Vai Lá Em Casa Hoje</t>
  </si>
  <si>
    <t>George Henrique &amp; Rodrigo</t>
  </si>
  <si>
    <t>https://music.amazon.com/albums/B0CN9RFW1B?/trackAsin=B0CN9RGGYY</t>
  </si>
  <si>
    <t>https://music.amazon.com/albums/B0DD5RR9FB?/trackAsin=B0DD5MP1HZ</t>
  </si>
  <si>
    <t>https://music.amazon.com/albums/B0BSP75D1L?/trackAsin=B0BSP7YKKQ</t>
  </si>
  <si>
    <t>https://music.amazon.com/albums/B094QQGNTW?/trackAsin=B094QNBW23</t>
  </si>
  <si>
    <t>O Poder do Teu Amor - Ao Vivo</t>
  </si>
  <si>
    <t>Sarah Beatriz</t>
  </si>
  <si>
    <t>https://music.amazon.com/albums/B0FCHVNL4G?/trackAsin=B0FCHK4KDT</t>
  </si>
  <si>
    <t>Musile Records</t>
  </si>
  <si>
    <t>https://music.amazon.com/albums/B0DX4YP9GJ?/trackAsin=B0DX5V9CDT</t>
  </si>
  <si>
    <t>https://music.amazon.com/albums/B0F8N7TDBZ?/trackAsin=B0F8N1MMN7</t>
  </si>
  <si>
    <t>https://music.amazon.com/albums/B0FKVZX168?/trackAsin=B0FKWRWMP4</t>
  </si>
  <si>
    <t>https://music.amazon.com/albums/B0DQ692P8G?/trackAsin=B0DQ66G2KZ</t>
  </si>
  <si>
    <t>https://music.amazon.com/albums/B0DT2B8LM6?/trackAsin=B0DT2LG9YZ</t>
  </si>
  <si>
    <t>https://music.amazon.com/albums/B0FF7NMPVR?/trackAsin=B0FF7JZQLK</t>
  </si>
  <si>
    <t>https://music.amazon.com/albums/B0DHLX2TXR?/trackAsin=B0DHLY875V</t>
  </si>
  <si>
    <t>Suel</t>
  </si>
  <si>
    <t>https://music.amazon.com/albums/B0D9PRN928?/trackAsin=B0D9PRPNM2</t>
  </si>
  <si>
    <t>ERRO PLANEJADO - Ao Vivo</t>
  </si>
  <si>
    <t>https://music.amazon.com/albums/B09X6L3S8Z?/trackAsin=B09X6F337T</t>
  </si>
  <si>
    <t>https://music.amazon.com/albums/B0CV61W8LX?/trackAsin=B0CV61B3PF</t>
  </si>
  <si>
    <t>Deixa Ela Em Paz</t>
  </si>
  <si>
    <t>https://music.amazon.com/albums/B0B3HXG19F?/trackAsin=B0B3HX5B34</t>
  </si>
  <si>
    <t>Próximo Amor - Ao Vivo</t>
  </si>
  <si>
    <t>https://music.amazon.com/albums/B0FFQ8YLZR?/trackAsin=B0FFQDDL1G</t>
  </si>
  <si>
    <t>UM PALMO - Ao Vivo</t>
  </si>
  <si>
    <t>https://music.amazon.com/albums/B0DPJDCN5Z?/trackAsin=B0DPJG16L5</t>
  </si>
  <si>
    <t>Você Me Persegue</t>
  </si>
  <si>
    <t>Fiorella</t>
  </si>
  <si>
    <t>https://music.amazon.com/albums/B0FLYTJW3D?/trackAsin=B0FLZ7J4SB</t>
  </si>
  <si>
    <t>Kaique e Felipe</t>
  </si>
  <si>
    <t>https://music.amazon.com/albums/B0FDPW2XV6?/trackAsin=B0FDQ4BTXZ</t>
  </si>
  <si>
    <t>Maluca - Ao Vivo</t>
  </si>
  <si>
    <t>https://music.amazon.com/albums/B0F25T21HV?/trackAsin=B0F25VWB9S</t>
  </si>
  <si>
    <t>https://music.amazon.com/albums/B0F8P7BJ11?/trackAsin=B0F8P5TH7F</t>
  </si>
  <si>
    <t>Rodeio no Texas 🐂</t>
  </si>
  <si>
    <t>https://music.amazon.com/albums/B0F7ZYVYNG?/trackAsin=B0F81B3HDY</t>
  </si>
  <si>
    <t>https://music.amazon.com/albums/B0DQ219GBX?/trackAsin=B0DQ1XGWPT</t>
  </si>
  <si>
    <t>A Casa É Sua</t>
  </si>
  <si>
    <t>Casa Worship</t>
  </si>
  <si>
    <t>https://music.amazon.com/albums/B0B19BRH1D?/trackAsin=B0B19CW1DD</t>
  </si>
  <si>
    <t>Sinônimos</t>
  </si>
  <si>
    <t>https://music.amazon.com/albums/B073HY4KRW?/trackAsin=B073MZVBNL</t>
  </si>
  <si>
    <t>Universal Latino</t>
  </si>
  <si>
    <t>Vai Lá - Ao Vivo em Goiânia</t>
  </si>
  <si>
    <t>https://music.amazon.com/albums/B0F7Y8XYCN?/trackAsin=B0F7Y6DSY3</t>
  </si>
  <si>
    <t>A Bênção</t>
  </si>
  <si>
    <t>https://music.amazon.com/albums/B0DFZSN5KY?/trackAsin=B0DFZ9G7Z4</t>
  </si>
  <si>
    <t>Um Degrau na Escada (Ao Vivo)</t>
  </si>
  <si>
    <t>https://music.amazon.com/albums/B088CWR1PW?/trackAsin=B088D2QT1R</t>
  </si>
  <si>
    <t>MD MUSIC</t>
  </si>
  <si>
    <t>Amor Falsificado</t>
  </si>
  <si>
    <t>https://music.amazon.com/albums/B099MRZFKC?/trackAsin=B099MFTD8X</t>
  </si>
  <si>
    <t>https://music.amazon.com/albums/B0DNLVCCWY?/trackAsin=B0DNLDLBBC</t>
  </si>
  <si>
    <t>https://music.amazon.com/albums/B0DJN9HYXY?/trackAsin=B0DJN9TSBF</t>
  </si>
  <si>
    <t>Sei Tocar Violão - Ao Vivo</t>
  </si>
  <si>
    <t>https://music.amazon.com/albums/B0DGVFGNH9?/trackAsin=B0DGVNZ5JD</t>
  </si>
  <si>
    <t>Morar Nesse Motel</t>
  </si>
  <si>
    <t>https://music.amazon.com/albums/B0D7WHFQSP?/trackAsin=B0D7WCNHQV</t>
  </si>
  <si>
    <t>https://music.amazon.com/albums/B0CZDM19MV?/trackAsin=B0CZDCLPWV</t>
  </si>
  <si>
    <t>https://music.amazon.com/albums/B0DL7XY7DH?/trackAsin=B0DL7K4B4W</t>
  </si>
  <si>
    <t>Ai que Vontade - Ao Vivo</t>
  </si>
  <si>
    <t>https://music.amazon.com/albums/B0DV1CPTMD?/trackAsin=B0DV1JZHVK</t>
  </si>
  <si>
    <t>https://music.amazon.com/albums/B0DL7XY7DH?/trackAsin=B0DL7Y3775</t>
  </si>
  <si>
    <t>Despedida De Casal</t>
  </si>
  <si>
    <t>https://music.amazon.com/albums/B08NHTZCJ9?/trackAsin=B08NHVFFV4</t>
  </si>
  <si>
    <t>Ainda Tô Aí - Ao Vivo</t>
  </si>
  <si>
    <t>https://music.amazon.com/albums/B085TP5L3Q?/trackAsin=B085TNVGZW</t>
  </si>
  <si>
    <t>Talismã Music</t>
  </si>
  <si>
    <t>Mãe Solteira</t>
  </si>
  <si>
    <t>DG e Batidão Stronda</t>
  </si>
  <si>
    <t>https://music.amazon.com/albums/B0DYXJBYSC?/trackAsin=B0DYY3M8XY</t>
  </si>
  <si>
    <t>https://music.amazon.com/albums/B0FD8MZV5S?/trackAsin=B0FD8P9WRJ</t>
  </si>
  <si>
    <t>todavia me alegrarei (ao vivo)</t>
  </si>
  <si>
    <t>Anderson Freire</t>
  </si>
  <si>
    <t>https://music.amazon.com/albums/B09NF1C2PH?/trackAsin=B09NDXRR5J</t>
  </si>
  <si>
    <t>MK Music</t>
  </si>
  <si>
    <t>Mulher Foda - Ao Vivo</t>
  </si>
  <si>
    <t>https://music.amazon.com/albums/B0D8VBT4XM?/trackAsin=B0D8V5NB75</t>
  </si>
  <si>
    <t>Pipoco</t>
  </si>
  <si>
    <t>https://music.amazon.com/albums/B09YYZBGH3?/trackAsin=B09YYXWTXN</t>
  </si>
  <si>
    <t>https://music.amazon.com/albums/B0040MJM2G?/trackAsin=B0040MGCQ0</t>
  </si>
  <si>
    <t>mudando de assunto - ao vivo</t>
  </si>
  <si>
    <t>https://music.amazon.com/albums/B017V6RICI?/trackAsin=B017V6RETA</t>
  </si>
  <si>
    <t>Só Hoje - Amazon Music Live</t>
  </si>
  <si>
    <t>https://music.amazon.com/albums/B0DP3R268C?/trackAsin=B0DP3R4C1W</t>
  </si>
  <si>
    <t>Oi, Jesus - Ao Vivo</t>
  </si>
  <si>
    <t>https://music.amazon.com/albums/B0FL9S4J45?/trackAsin=B0FL9QCGPF</t>
  </si>
  <si>
    <t>Dormi Na Praça - Ao Vivo</t>
  </si>
  <si>
    <t>https://music.amazon.com/albums/B073JX3VGC?/trackAsin=B073T3LXTS</t>
  </si>
  <si>
    <t>Universal Music Digital Services</t>
  </si>
  <si>
    <t>https://music.amazon.com/albums/B0C7D4VL36?/trackAsin=B0C7DQCSMF</t>
  </si>
  <si>
    <t>https://music.amazon.com/albums/B0D57HF38Y?/trackAsin=B0D57HZ4C3</t>
  </si>
  <si>
    <t>Só os Loucos Sabem</t>
  </si>
  <si>
    <t>https://music.amazon.com/albums/B004FF3XKA?/trackAsin=B004FF2FUO</t>
  </si>
  <si>
    <t>Epitáfio</t>
  </si>
  <si>
    <t>Titãs</t>
  </si>
  <si>
    <t>https://music.amazon.com/albums/B002P2PNUS?/trackAsin=B002P2TTAI</t>
  </si>
  <si>
    <t>Mesma Língua - Ao Vivo</t>
  </si>
  <si>
    <t>https://music.amazon.com/albums/B0FL5VD6BV?/trackAsin=B0FL4QRVFS</t>
  </si>
  <si>
    <t>https://music.amazon.com/albums/B0D9J3NPY4?/trackAsin=B0D9J3NCGS</t>
  </si>
  <si>
    <t>ANSEIO</t>
  </si>
  <si>
    <t>https://music.amazon.com/albums/B0FH5KWTPG?/trackAsin=B0FH5MSF89</t>
  </si>
  <si>
    <t>Nada Pode Calar Um Adorador</t>
  </si>
  <si>
    <t>Eyshila</t>
  </si>
  <si>
    <t>https://music.amazon.com/albums/B08JTSKRDG?/trackAsin=B08JTY7WQQ</t>
  </si>
  <si>
    <t>Uma Ex (Ao Vivo)</t>
  </si>
  <si>
    <t>https://music.amazon.com/albums/B0DWZV9N7L?/trackAsin=B0DX1RL5KQ</t>
  </si>
  <si>
    <t>Artinvox</t>
  </si>
  <si>
    <t>ruja o leão / que se abram os céus - ao vivo</t>
  </si>
  <si>
    <t>https://music.amazon.com/albums/B0DFZWQFP9?/trackAsin=B0DFZVBXV8</t>
  </si>
  <si>
    <t>Descer Pra BC</t>
  </si>
  <si>
    <t>Brenno &amp; Matheus</t>
  </si>
  <si>
    <t>https://music.amazon.com/albums/B0DMBD5C8C?/trackAsin=B0DMBFSYX3</t>
  </si>
  <si>
    <t>Memórias - Ao Vivo</t>
  </si>
  <si>
    <t>https://music.amazon.com/albums/B0CYTHWVQY?/trackAsin=B0CYTJ6VGZ</t>
  </si>
  <si>
    <t>https://music.amazon.com/albums/B0DFZN6KB4?/trackAsin=B0DFZLY2X4</t>
  </si>
  <si>
    <t>https://music.amazon.com/albums/B0D57K22PQ?/trackAsin=B0D57JSC1P</t>
  </si>
  <si>
    <t>santo pra sempre - ao vivo</t>
  </si>
  <si>
    <t>https://music.amazon.com/albums/B0DFZQM3B7?/trackAsin=B0DFZY5WYH</t>
  </si>
  <si>
    <t>https://music.amazon.com/albums/B0FC891BCG?/trackAsin=B0FC81Z1VZ</t>
  </si>
  <si>
    <t>Sinônimos / Pense Em Mim / É o Amor</t>
  </si>
  <si>
    <t>Amigos</t>
  </si>
  <si>
    <t>https://music.amazon.com/albums/B07RF3L7RM?/trackAsin=B07RH678FT</t>
  </si>
  <si>
    <t>Boiadeira</t>
  </si>
  <si>
    <t>https://music.amazon.com/albums/B0C6R6YFZ9?/trackAsin=B0C6R6QHD2</t>
  </si>
  <si>
    <t>Insight Digital</t>
  </si>
  <si>
    <t>Amo Noite e Dia</t>
  </si>
  <si>
    <t>https://music.amazon.com/albums/B01MG9CUON?/trackAsin=B01MQDVIDW</t>
  </si>
  <si>
    <t>https://music.amazon.com/albums/B0DCCFPX25?/trackAsin=B0DCCFPSJW</t>
  </si>
  <si>
    <t>Mesmo Sem Entender</t>
  </si>
  <si>
    <t>Thalles Roberto</t>
  </si>
  <si>
    <t>https://music.amazon.com/albums/B08HPMT87Q?/trackAsin=B08HPGG9GW</t>
  </si>
  <si>
    <t>Pelicula de Vidro - Ao Vivo</t>
  </si>
  <si>
    <t>https://music.amazon.com/albums/B0CTJ9J778?/trackAsin=B0CTJ9MBPZ</t>
  </si>
  <si>
    <t>Beijo de Glicose - Ao Vivo</t>
  </si>
  <si>
    <t>https://music.amazon.com/albums/B0BRYT9PKT?/trackAsin=B0BRYTHJ9K</t>
  </si>
  <si>
    <t>Nem Precisa Responder - Ao Vivo</t>
  </si>
  <si>
    <t>Ivete Sangalo</t>
  </si>
  <si>
    <t>https://music.amazon.com/albums/B0FMS7BMPJ?/trackAsin=B0FMS27Y64</t>
  </si>
  <si>
    <t>IM Music</t>
  </si>
  <si>
    <t>ovelhinha (ao vivo)</t>
  </si>
  <si>
    <t>https://music.amazon.com/albums/B0D54ZQMVR?/trackAsin=B0D54Z427L</t>
  </si>
  <si>
    <t>https://music.amazon.com/albums/B0DFZJ59P1?/trackAsin=B0DFZMD9HT</t>
  </si>
  <si>
    <t>esqueci - ao vivo</t>
  </si>
  <si>
    <t>https://music.amazon.com/albums/B0F8R84HND?/trackAsin=B0F8RC67SM</t>
  </si>
  <si>
    <t>Tu És Bom (Em Todo o Tempo)</t>
  </si>
  <si>
    <t>https://music.amazon.com/albums/B089YK28WH?/trackAsin=B089XXYNZB</t>
  </si>
  <si>
    <t>Aí Cê Me Quebra</t>
  </si>
  <si>
    <t>César Menotti &amp; Fabiano</t>
  </si>
  <si>
    <t>https://music.amazon.com/albums/B09VP3SJR3?/trackAsin=B09VNV6SDL</t>
  </si>
  <si>
    <t>https://music.amazon.com/albums/B0DJ43LP2X?/trackAsin=B0DJ3R4LNQ</t>
  </si>
  <si>
    <t>Graveto - Ao Vivo</t>
  </si>
  <si>
    <t>https://music.amazon.com/albums/B0C9FYG8RS?/trackAsin=B0C9FY78RP</t>
  </si>
  <si>
    <t>https://music.amazon.com/albums/B0FH6XDKPG?/trackAsin=B0FH6TMMQQ</t>
  </si>
  <si>
    <t>https://music.amazon.com/albums/B0DVX8PFRB?/trackAsin=B0DVXC6F4Q</t>
  </si>
  <si>
    <t>Uma Nova História - Acústico</t>
  </si>
  <si>
    <t>https://music.amazon.com/albums/B08VM3W3P2?/trackAsin=B08VM1FXMN</t>
  </si>
  <si>
    <t>Faz Chover Produoes Artisticas E Musicais LTDA</t>
  </si>
  <si>
    <t>https://music.amazon.com/albums/B0DD12ZDJT?/trackAsin=B0DCZZ7GCC</t>
  </si>
  <si>
    <t>Você Vai Ver</t>
  </si>
  <si>
    <t>https://music.amazon.com/albums/B007REABE2?/trackAsin=B007READP4</t>
  </si>
  <si>
    <t>Me Atraiu - Ao Vivo</t>
  </si>
  <si>
    <t>https://music.amazon.com/albums/B0DFZM4PMR?/trackAsin=B0DFZXQF9R</t>
  </si>
  <si>
    <t>Quero Você do Jeito Que Quiser</t>
  </si>
  <si>
    <t>https://music.amazon.com/albums/B08GKZM6J1?/trackAsin=B08GKZJT73</t>
  </si>
  <si>
    <t>Como Eu Quero - Ao Vivo</t>
  </si>
  <si>
    <t>Kid Abelha</t>
  </si>
  <si>
    <t>https://music.amazon.com/albums/B081S4CDF4?/trackAsin=B073RTHLQN</t>
  </si>
  <si>
    <t>Posto 9</t>
  </si>
  <si>
    <t>Clima De Rodeio</t>
  </si>
  <si>
    <t>Dj Chris No Beat</t>
  </si>
  <si>
    <t>https://music.amazon.com/albums/B09W2RD72V?/trackAsin=B09W2PMW4P</t>
  </si>
  <si>
    <t>AgroPlay Records Tm.</t>
  </si>
  <si>
    <t>arrasta uma cadeira (feat. chitãozinho &amp; xororó)</t>
  </si>
  <si>
    <t>https://music.amazon.com/albums/B073JCZVVB?/trackAsin=B073N6SCGV</t>
  </si>
  <si>
    <t>Amigo Records</t>
  </si>
  <si>
    <t>https://music.amazon.com/albums/B0943LF8VH?/trackAsin=B099W7F3LW</t>
  </si>
  <si>
    <t>https://music.amazon.com/albums/B0DPNNRG6N?/trackAsin=B0DPNLHPYB</t>
  </si>
  <si>
    <t>Eu Sou Teu Pai - Ao Vivo</t>
  </si>
  <si>
    <t>Valesca Mayssa</t>
  </si>
  <si>
    <t>https://music.amazon.com/albums/B0C8921DJ1?/trackAsin=B0C88YVCMG</t>
  </si>
  <si>
    <t>https://music.amazon.com/albums/B0992SFBMM?/trackAsin=B0992R8765</t>
  </si>
  <si>
    <t>Além do Rio Azul - Ao Vivo</t>
  </si>
  <si>
    <t>Julia Vitória</t>
  </si>
  <si>
    <t>https://music.amazon.com/albums/B087PLVDP4?/trackAsin=B087PLMHQZ</t>
  </si>
  <si>
    <t>É o Amor</t>
  </si>
  <si>
    <t>https://music.amazon.com/albums/B073J4PZ3P?/trackAsin=B073MRVM5Y</t>
  </si>
  <si>
    <t>Equivocada - Ao Vivo</t>
  </si>
  <si>
    <t>https://music.amazon.com/albums/B0CX26YRKH?/trackAsin=B0CX282RVT</t>
  </si>
  <si>
    <t>sofrimento simultâneo - ao vivo</t>
  </si>
  <si>
    <t>https://music.amazon.com/albums/B0F1SS26F9?/trackAsin=B0F1SBRDTQ</t>
  </si>
  <si>
    <t>surto de amor - ao vivo em uberlândia / 2018</t>
  </si>
  <si>
    <t>https://music.amazon.com/albums/B07ZJPWYX6?/trackAsin=B07ZJNZJ9P</t>
  </si>
  <si>
    <t>Universal Music International Ltda.</t>
  </si>
  <si>
    <t>Tá Chorando Por Quê?</t>
  </si>
  <si>
    <t>Preto no Branco</t>
  </si>
  <si>
    <t>https://music.amazon.com/albums/B0D3WVPVSQ?/trackAsin=B0D3WYGD51</t>
  </si>
  <si>
    <t>Preto No Branco</t>
  </si>
  <si>
    <t>Ousado Amor</t>
  </si>
  <si>
    <t>https://music.amazon.com/albums/B0DFYZVBWM?/trackAsin=B0DFZ23G67</t>
  </si>
  <si>
    <t>Vontade Dividida - Ao Vivo</t>
  </si>
  <si>
    <t>https://music.amazon.com/albums/B09NQLYJDS?/trackAsin=B09NQM9166</t>
  </si>
  <si>
    <t>https://music.amazon.com/albums/B0DK9VTZ8Q?/trackAsin=B0DK9WBBH3</t>
  </si>
  <si>
    <t>https://music.amazon.com/albums/B0F1MMJHNY?/trackAsin=B0F1MMPZRM</t>
  </si>
  <si>
    <t>Relação Errada - Ao Vivo</t>
  </si>
  <si>
    <t>https://music.amazon.com/albums/B0CVCXCJW1?/trackAsin=B0CVD2MNFS</t>
  </si>
  <si>
    <t>https://music.amazon.com/albums/B0FHFFZ4JR?/trackAsin=B0FHFBHMMF</t>
  </si>
  <si>
    <t>https://music.amazon.com/albums/B0DXYPCN49?/trackAsin=B0DXYQRP6V</t>
  </si>
  <si>
    <t>https://music.amazon.com/albums/B0DRNCNNTR?/trackAsin=B0DRNG3MGJ</t>
  </si>
  <si>
    <t>Velha Infância - 2004 Digital Remaster</t>
  </si>
  <si>
    <t>https://music.amazon.com/albums/B088JPP8KG?/trackAsin=B088JSYM1S</t>
  </si>
  <si>
    <t>Terra Seca - Ao Vivo</t>
  </si>
  <si>
    <t>Fraternidade São João Paulo II</t>
  </si>
  <si>
    <t>https://music.amazon.com/albums/B092LRCKB8?/trackAsin=B092LQVP4P</t>
  </si>
  <si>
    <t>Me Leva Pra Casa / Escrito Nas Estrelas / Saudade - Ao Vivo</t>
  </si>
  <si>
    <t>https://music.amazon.com/albums/B0CV98QZ9X?/trackAsin=B0CV9TPHJW</t>
  </si>
  <si>
    <t>Único - Live</t>
  </si>
  <si>
    <t>https://music.amazon.com/albums/B0BYR7Z6YC?/trackAsin=B0BYR8HLT9</t>
  </si>
  <si>
    <t>Faz Chover Produções Artísticas e Musicais Ltda</t>
  </si>
  <si>
    <t>Me Bloqueia - Ao Vivo No Prainha</t>
  </si>
  <si>
    <t>https://music.amazon.com/albums/B0DYVJLD1B?/trackAsin=B0DYVN2MDB</t>
  </si>
  <si>
    <t>A Cerveja Abre Sozinha - Ao Vivo</t>
  </si>
  <si>
    <t>https://music.amazon.com/albums/B0DZGZBK5Z?/trackAsin=B0DZH64F76</t>
  </si>
  <si>
    <t>deixa acontecer - ao vivo</t>
  </si>
  <si>
    <t>https://music.amazon.com/albums/B00U0VGK9O?/trackAsin=B00U0VGNHS</t>
  </si>
  <si>
    <t>S de Saudade</t>
  </si>
  <si>
    <t>Luíza &amp; Maurílio</t>
  </si>
  <si>
    <t>https://music.amazon.com/albums/B07Z1DPD4K?/trackAsin=B07Z19JLCF</t>
  </si>
  <si>
    <t>Céu Azul - Bônus</t>
  </si>
  <si>
    <t>https://music.amazon.com/albums/B09B2KK3VY?/trackAsin=B09B2M289V</t>
  </si>
  <si>
    <t>https://music.amazon.com/albums/B0DGWMTNWD?/trackAsin=B0DGWYKPSB</t>
  </si>
  <si>
    <t>https://music.amazon.com/albums/B0DQLXXF9T?/trackAsin=B0DQLX3D41</t>
  </si>
  <si>
    <t>https://music.amazon.com/albums/B0DJDZ98VD?/trackAsin=B0DJDXZD7F</t>
  </si>
  <si>
    <t>Eu Quem Merecia</t>
  </si>
  <si>
    <t>https://music.amazon.com/albums/B0FHJDQ48H?/trackAsin=B0FHJCV38G</t>
  </si>
  <si>
    <t>Que Sorte A Nossa - Live</t>
  </si>
  <si>
    <t>https://music.amazon.com/albums/B073JCLVNR?/trackAsin=B073RVR1HZ</t>
  </si>
  <si>
    <t>Média Boa - Ao Vivo</t>
  </si>
  <si>
    <t>https://music.amazon.com/albums/B0BKSKT3RM?/trackAsin=B0BKSKNXKM</t>
  </si>
  <si>
    <t>https://music.amazon.com/albums/B0F4SV9RHQ?/trackAsin=B0F4SZ2NLP</t>
  </si>
  <si>
    <t>https://music.amazon.com/albums/B0DV46W1XS?/trackAsin=B0DV46JX83</t>
  </si>
  <si>
    <t>Um Sonhador</t>
  </si>
  <si>
    <t>https://music.amazon.com/albums/B0084N27TM?/trackAsin=B0084N28SC</t>
  </si>
  <si>
    <t>https://music.amazon.com/albums/B0FK1DSCBP?/trackAsin=B0FJZMX4FX</t>
  </si>
  <si>
    <t>https://music.amazon.com/albums/B0DYWQ3WCH?/trackAsin=B0DYWBNFQ3</t>
  </si>
  <si>
    <t>Deixa</t>
  </si>
  <si>
    <t>https://music.amazon.com/albums/B0BVRPTG5F?/trackAsin=B0BVRP2H4C</t>
  </si>
  <si>
    <t>Dias De Luta, Dias De Gloria</t>
  </si>
  <si>
    <t>https://music.amazon.com/albums/B000SZDJNC?/trackAsin=B000SZJAGM</t>
  </si>
  <si>
    <t>Pupila</t>
  </si>
  <si>
    <t>https://music.amazon.com/albums/B07TP6CHTY?/trackAsin=B07TQ8RGLD</t>
  </si>
  <si>
    <t>https://music.amazon.com/albums/B0F2GRHC2W?/trackAsin=B0F2GYLHDY</t>
  </si>
  <si>
    <t>Mc Danny</t>
  </si>
  <si>
    <t>https://music.amazon.com/albums/B0DZ2TPHZN?/trackAsin=B0DZ2V626Z</t>
  </si>
  <si>
    <t>FREEDOWN MUSIC</t>
  </si>
  <si>
    <t>Léo Santana</t>
  </si>
  <si>
    <t>https://music.amazon.com/albums/B0F7ZTY77J?/trackAsin=B0F7ZYQ4PL</t>
  </si>
  <si>
    <t>Alívio</t>
  </si>
  <si>
    <t>Jessé Aguiar</t>
  </si>
  <si>
    <t>https://music.amazon.com/albums/B08ZMB96YB?/trackAsin=B08ZMBCC33</t>
  </si>
  <si>
    <t>Anjos (Pra Quem Tem Fé)</t>
  </si>
  <si>
    <t>https://music.amazon.com/albums/B00ENGKWJG?/trackAsin=B00ENGKZZ2</t>
  </si>
  <si>
    <t>https://music.amazon.com/albums/B079VSDTZP?/trackAsin=B079VDQRPX</t>
  </si>
  <si>
    <t>KIDinaKORNER/Interscope Records</t>
  </si>
  <si>
    <t>Na Cama Que Eu Paguei - Ao Vivo</t>
  </si>
  <si>
    <t>https://music.amazon.com/albums/B0BNQVVNXM?/trackAsin=B0BNS23GCG</t>
  </si>
  <si>
    <t>Eu Te Vejo Em Tudo</t>
  </si>
  <si>
    <t>https://music.amazon.com/albums/B0B19BRH1D?/trackAsin=B0B19DHMTH</t>
  </si>
  <si>
    <t>Casa Music</t>
  </si>
  <si>
    <t>Lua</t>
  </si>
  <si>
    <t>https://music.amazon.com/albums/B0CVBC66HN?/trackAsin=B0CVBC1B74</t>
  </si>
  <si>
    <t>AgroPlay</t>
  </si>
  <si>
    <t>Sabiá - Ao Vivo</t>
  </si>
  <si>
    <t>Alceu Valença</t>
  </si>
  <si>
    <t>https://music.amazon.com/albums/B007XB6ZBM?/trackAsin=B007XB6ZRQ</t>
  </si>
  <si>
    <t>Sinto Fluir - Ao Vivo</t>
  </si>
  <si>
    <t>Marcelo Markes</t>
  </si>
  <si>
    <t>https://music.amazon.com/albums/B0BKH72HRK?/trackAsin=B0BKHBM1B8</t>
  </si>
  <si>
    <t>Promov Music</t>
  </si>
  <si>
    <t>Aliança</t>
  </si>
  <si>
    <t>https://music.amazon.com/albums/B08ZNNBGNM?/trackAsin=B08ZNPLL69</t>
  </si>
  <si>
    <t>Ruja o Leão - Ao Vivo</t>
  </si>
  <si>
    <t>https://music.amazon.com/albums/B0D8DX43Z4?/trackAsin=B0D8FJSB5H</t>
  </si>
  <si>
    <t>Todas As Coisas - Ao Vivo</t>
  </si>
  <si>
    <t>https://music.amazon.com/albums/B07SW883RG?/trackAsin=B07SYBRLSS</t>
  </si>
  <si>
    <t>Sonho de Amor - Ao Vivo</t>
  </si>
  <si>
    <t>https://music.amazon.com/albums/B082FQWRYP?/trackAsin=B082FQ8CL3</t>
  </si>
  <si>
    <t>Instinto</t>
  </si>
  <si>
    <t>https://music.amazon.com/albums/B08P2WK2NR?/trackAsin=B08P2VL2R5</t>
  </si>
  <si>
    <t>CORAÇÃO CIGANO - Ao Vivo</t>
  </si>
  <si>
    <t>https://music.amazon.com/albums/B0B842SPZF?/trackAsin=B0B84LRXRY</t>
  </si>
  <si>
    <t>recaídas - ao vivo</t>
  </si>
  <si>
    <t>https://music.amazon.com/albums/B09HJHZHTN?/trackAsin=B09HJKV2QG</t>
  </si>
  <si>
    <t>Pra Sempre - Acústico</t>
  </si>
  <si>
    <t>https://music.amazon.com/albums/B08VM3W3P2?/trackAsin=B08VMBRS65</t>
  </si>
  <si>
    <t>Tá Escrito</t>
  </si>
  <si>
    <t>https://music.amazon.com/albums/B00U0V2PAC?/trackAsin=B00U0V2UQQ</t>
  </si>
  <si>
    <t>Moletom</t>
  </si>
  <si>
    <t>https://music.amazon.com/albums/B0CQBYCN77?/trackAsin=B0CQC8NMQ9</t>
  </si>
  <si>
    <t>https://music.amazon.com/albums/B0CYPF5MFB?/trackAsin=B0CYPC7BL5</t>
  </si>
  <si>
    <t>Amor I Love You / Citação: Trecho da Obra Intitulada "Primo Basilio" De Eça de Queiroz Declamado por Arnaldo Antunes</t>
  </si>
  <si>
    <t>https://music.amazon.com/albums/B0889ZTYVH?/trackAsin=B0889P4ZT2</t>
  </si>
  <si>
    <t>Vagabundo</t>
  </si>
  <si>
    <t>https://music.amazon.com/albums/B097XLPFY6?/trackAsin=B097XT85TC</t>
  </si>
  <si>
    <t>Diz</t>
  </si>
  <si>
    <t>https://music.amazon.com/albums/B0DFZHP5TC?/trackAsin=B0DFZJJTDP</t>
  </si>
  <si>
    <t>Pulei na Piscina - Ao Vivo</t>
  </si>
  <si>
    <t>https://music.amazon.com/albums/B09KBN65KV?/trackAsin=B09KBS42DN</t>
  </si>
  <si>
    <t>um amor puro</t>
  </si>
  <si>
    <t>https://music.amazon.com/albums/B01FXS9YZA?/trackAsin=B01FXS9Y1O</t>
  </si>
  <si>
    <t>Pra Você Guardei O Amor</t>
  </si>
  <si>
    <t>Nando Reis</t>
  </si>
  <si>
    <t>https://music.amazon.com/albums/B08XJ8QWZF?/trackAsin=B073NVC5W6</t>
  </si>
  <si>
    <t>Universal Music</t>
  </si>
  <si>
    <t>Pactos - Ao Vivo</t>
  </si>
  <si>
    <t>https://music.amazon.com/albums/B0BHLCPYW2?/trackAsin=B0BHL9Q49Y</t>
  </si>
  <si>
    <t>Nosso Quadro</t>
  </si>
  <si>
    <t>https://music.amazon.com/albums/B0CRBHHQR6?/trackAsin=B0CRBJP92D</t>
  </si>
  <si>
    <t>amor distante / inquilina de violeiro - ao vivo</t>
  </si>
  <si>
    <t>https://music.amazon.com/albums/B0058XBTWM?/trackAsin=B0058XBW5G</t>
  </si>
  <si>
    <t>Se Eu Não Te Ouvir (Ao Vivo)</t>
  </si>
  <si>
    <t>Sarah Farias</t>
  </si>
  <si>
    <t>https://music.amazon.com/albums/B0D9CCB1XM?/trackAsin=B0D9CC46JD</t>
  </si>
  <si>
    <t>Vazou Na Braquiara - Ao Vivo</t>
  </si>
  <si>
    <t>https://music.amazon.com/albums/B0CVBNBBYB?/trackAsin=B0CVBMVJLK</t>
  </si>
  <si>
    <t>PARECE - Ao Vivo</t>
  </si>
  <si>
    <t>https://music.amazon.com/albums/B0DVY91HKJ?/trackAsin=B0DVY27DS8</t>
  </si>
  <si>
    <t>Ela Vai Voltar (Todos Os Defeitos de uma Mulher Perfeita)</t>
  </si>
  <si>
    <t>https://music.amazon.com/albums/B000SZDJNC?/trackAsin=B000SZJ9V8</t>
  </si>
  <si>
    <t>Chorei No Uber</t>
  </si>
  <si>
    <t>https://music.amazon.com/albums/B0F1VBMNN7?/trackAsin=B0F1VBTDJG</t>
  </si>
  <si>
    <t>https://music.amazon.com/albums/B0F9B42SB1?/trackAsin=B0F9B39FL5</t>
  </si>
  <si>
    <t>Josué Freitas</t>
  </si>
  <si>
    <t>https://music.amazon.com/albums/B0CV5XDPH2?/trackAsin=B0CV5ZBYTM</t>
  </si>
  <si>
    <t>Music Barn</t>
  </si>
  <si>
    <t>https://music.amazon.com/albums/B08832WN2F?/trackAsin=B0882RWS5R</t>
  </si>
  <si>
    <t>Eu Gosto Assim - Ao Vivo</t>
  </si>
  <si>
    <t>https://music.amazon.com/albums/B0BDW62BDX?/trackAsin=B0BDW4RYDX</t>
  </si>
  <si>
    <t>https://music.amazon.com/albums/B0D894J4L8?/trackAsin=B0D89H6DBQ</t>
  </si>
  <si>
    <t>Canudinho - Ao Vivo</t>
  </si>
  <si>
    <t>https://music.amazon.com/albums/B0CGC9QZ38?/trackAsin=B0CGCNBTJY</t>
  </si>
  <si>
    <t>ALUGA-SE - Ao Vivo</t>
  </si>
  <si>
    <t>https://music.amazon.com/albums/B0DVY91HKJ?/trackAsin=B0DVY1LFVB</t>
  </si>
  <si>
    <t>Ainda Ontem Chorei de Saudade - Ao Vivo</t>
  </si>
  <si>
    <t>Leonardo</t>
  </si>
  <si>
    <t>https://music.amazon.com/albums/B00PJID8VG?/trackAsin=B00PJIDCQC</t>
  </si>
  <si>
    <t>Seu Nome É Amor</t>
  </si>
  <si>
    <t>Kim Walker-Smith</t>
  </si>
  <si>
    <t>https://music.amazon.com/albums/B08MVL3PKF?/trackAsin=B08MVQDC9B</t>
  </si>
  <si>
    <t>Jesus Culture</t>
  </si>
  <si>
    <t>Se...</t>
  </si>
  <si>
    <t>https://music.amazon.com/albums/B00IZUYXKU?/trackAsin=B00IZUZ2IW</t>
  </si>
  <si>
    <t>Escape</t>
  </si>
  <si>
    <t>Renascer Praise</t>
  </si>
  <si>
    <t>https://music.amazon.com/albums/B0CFG9N99B?/trackAsin=B0CFG5T1JS</t>
  </si>
  <si>
    <t>Gospel Records Digital</t>
  </si>
  <si>
    <t>Anestesiado - Ao Vivo</t>
  </si>
  <si>
    <t>https://music.amazon.com/albums/B0DZGZBK5Z?/trackAsin=B0DZH4F83K</t>
  </si>
  <si>
    <t>Skank</t>
  </si>
  <si>
    <t>Galileu - Ao Vivo</t>
  </si>
  <si>
    <t>https://music.amazon.com/albums/B07SYBZFRF?/trackAsin=B07SXDJXTT</t>
  </si>
  <si>
    <t>Deixa Alagar - Ao Vivo</t>
  </si>
  <si>
    <t>https://music.amazon.com/albums/B07D9WR9TX?/trackAsin=B07DCM9PQJ</t>
  </si>
  <si>
    <t>Tu És Santo</t>
  </si>
  <si>
    <t>https://music.amazon.com/albums/B0813WMT3X?/trackAsin=B0813W1HP8</t>
  </si>
  <si>
    <t>Flor E O Beija-Flor</t>
  </si>
  <si>
    <t>https://music.amazon.com/albums/B0CBWB4S73?/trackAsin=B0CBWC1CY8</t>
  </si>
  <si>
    <t>Chão de Giz</t>
  </si>
  <si>
    <t>Zé Ramalho</t>
  </si>
  <si>
    <t>https://music.amazon.com/albums/B073J3FMNY?/trackAsin=B073NXT15X</t>
  </si>
  <si>
    <t>Na Linha do Tempo</t>
  </si>
  <si>
    <t>Victor &amp; Leo</t>
  </si>
  <si>
    <t>https://music.amazon.com/albums/B00FMRJ3RC?/trackAsin=B00FMRJ9WQ</t>
  </si>
  <si>
    <t>Cilada (Amazon Music Live)</t>
  </si>
  <si>
    <t>https://music.amazon.com/albums/B0DFXMDWF5?/trackAsin=B0DFXN97HZ</t>
  </si>
  <si>
    <t>https://music.amazon.com/albums/B0DSLYJBX7?/trackAsin=B0DSLZP461</t>
  </si>
  <si>
    <t>It's My Life</t>
  </si>
  <si>
    <t>Bon Jovi</t>
  </si>
  <si>
    <t>https://music.amazon.com/albums/B073JM2T5H?/trackAsin=B073R718CF</t>
  </si>
  <si>
    <t>Virgin EMI</t>
  </si>
  <si>
    <t>Clamo Jesus</t>
  </si>
  <si>
    <t>Paulo Cesar Baruk</t>
  </si>
  <si>
    <t>https://music.amazon.com/albums/B0CF37JNC5?/trackAsin=B0CF2V97G3</t>
  </si>
  <si>
    <t>SALLUZ PRODUCTIONS</t>
  </si>
  <si>
    <t>Xote da Alegria</t>
  </si>
  <si>
    <t>Falamansa</t>
  </si>
  <si>
    <t>https://music.amazon.com/albums/B00VGHFM4K?/trackAsin=B00VGHFQ78</t>
  </si>
  <si>
    <t>Pra Mudar a Minha Vida</t>
  </si>
  <si>
    <t>https://music.amazon.com/albums/B00I6DL2ZK?/trackAsin=B00I6DL7V4</t>
  </si>
  <si>
    <t>Meu Grito de Amor</t>
  </si>
  <si>
    <t>https://music.amazon.com/albums/B0FLSB9NLZ?/trackAsin=B0FLRSFRZT</t>
  </si>
  <si>
    <t>Bruno Rosa</t>
  </si>
  <si>
    <t>https://music.amazon.com/albums/B0FCNSCW8J?/trackAsin=B0FCP38RDR</t>
  </si>
  <si>
    <t>Seu Amor</t>
  </si>
  <si>
    <t>LUDI</t>
  </si>
  <si>
    <t>https://music.amazon.com/albums/B0DFYZ1WC4?/trackAsin=B0DFZ26RJN</t>
  </si>
  <si>
    <t>Vitorioso És - Ao Vivo</t>
  </si>
  <si>
    <t>https://music.amazon.com/albums/B0DFYZM6BP?/trackAsin=B0DFZ2VFTT</t>
  </si>
  <si>
    <t>Flowers</t>
  </si>
  <si>
    <t>https://music.amazon.com/albums/B0BS2SB6RC?/trackAsin=B0BS2S4WXN</t>
  </si>
  <si>
    <t>https://music.amazon.com/albums/B0DGDBFRQL?/trackAsin=B0DGDBTY58</t>
  </si>
  <si>
    <t>Gostava Tanto De Você</t>
  </si>
  <si>
    <t>Tim Maia</t>
  </si>
  <si>
    <t>https://music.amazon.com/albums/B07GLBF495?/trackAsin=B07GLF24RV</t>
  </si>
  <si>
    <t>Depois</t>
  </si>
  <si>
    <t>https://music.amazon.com/albums/B08832WN2F?/trackAsin=B0882V56TZ</t>
  </si>
  <si>
    <t>Raridade</t>
  </si>
  <si>
    <t>https://music.amazon.com/albums/B07YJ8R67C?/trackAsin=B07YJ71D4W</t>
  </si>
  <si>
    <t>Não Tem Como Dar Errado - Ao Vivo em Salvador</t>
  </si>
  <si>
    <t>https://music.amazon.com/albums/B0DXW18P4K?/trackAsin=B0DXW1NNPR</t>
  </si>
  <si>
    <t>Shallow</t>
  </si>
  <si>
    <t>https://music.amazon.com/albums/B07GWJMW22?/trackAsin=B07GWQ6VF6</t>
  </si>
  <si>
    <t>A Star is Born OST</t>
  </si>
  <si>
    <t>Eu Sei Que Não Estou Só (Amazon Original)</t>
  </si>
  <si>
    <t>Bruna Karla</t>
  </si>
  <si>
    <t>https://music.amazon.com/albums/B09XTTHG73?/trackAsin=B09XTJT8PX</t>
  </si>
  <si>
    <t>Algo Novo (feat. Lukas Agustinho) - Ao Vivo</t>
  </si>
  <si>
    <t>Kemuel</t>
  </si>
  <si>
    <t>https://music.amazon.com/albums/B0895HTXNQ?/trackAsin=B0895KNP3L</t>
  </si>
  <si>
    <t>Meu Consolador (Amazon Original)</t>
  </si>
  <si>
    <t>Fernanda Brum</t>
  </si>
  <si>
    <t>https://music.amazon.com/albums/B09XQ346JF?/trackAsin=B09XPTN79Z</t>
  </si>
  <si>
    <t>De Janeiro a Janeiro</t>
  </si>
  <si>
    <t>Roberta Campos</t>
  </si>
  <si>
    <t>https://music.amazon.com/albums/B00U2TAFHW?/trackAsin=B00U2TAMGQ</t>
  </si>
  <si>
    <t>https://music.amazon.com/albums/B0DHLKJJ3C?/trackAsin=B0DHLH19D4</t>
  </si>
  <si>
    <t>Ana Vilela</t>
  </si>
  <si>
    <t>https://music.amazon.com/albums/B0716FKMLZ?/trackAsin=B071RPPXQK</t>
  </si>
  <si>
    <t>Slap</t>
  </si>
  <si>
    <t>https://music.amazon.com/albums/B09WTVK4TR?/trackAsin=B09WTYVBRV</t>
  </si>
  <si>
    <t>seja o centro / jesus - ao vivo</t>
  </si>
  <si>
    <t>Nívea Soares</t>
  </si>
  <si>
    <t>https://music.amazon.com/albums/B0DFZS312M?/trackAsin=B0DFZXTJ5B</t>
  </si>
  <si>
    <t>Molhando o Volante</t>
  </si>
  <si>
    <t>https://music.amazon.com/albums/B0FKNLFZFV?/trackAsin=B0FKNL95HF</t>
  </si>
  <si>
    <t>Traumatizei - Ao Vivo Em Brasília</t>
  </si>
  <si>
    <t>Thunder</t>
  </si>
  <si>
    <t>https://music.amazon.com/albums/B079VSDTZP?/trackAsin=B079VHLP5S</t>
  </si>
  <si>
    <t>La Belle De Jour</t>
  </si>
  <si>
    <t>https://music.amazon.com/albums/B073LHB1GW?/trackAsin=B073LYM6M4</t>
  </si>
  <si>
    <t>Cássia Eller</t>
  </si>
  <si>
    <t>https://music.amazon.com/albums/B084CTP2PY?/trackAsin=B073RH8GRM</t>
  </si>
  <si>
    <t>A Viagem</t>
  </si>
  <si>
    <t>Roupa Nova</t>
  </si>
  <si>
    <t>https://music.amazon.com/albums/B008YE0VAI?/trackAsin=B008YE0VS0</t>
  </si>
  <si>
    <t>Aquieta Minh'alma</t>
  </si>
  <si>
    <t>Ministério Zoe</t>
  </si>
  <si>
    <t>https://music.amazon.com/albums/B093K4YFXG?/trackAsin=B093K65VK9</t>
  </si>
  <si>
    <t>Geleira do tempo</t>
  </si>
  <si>
    <t>https://music.amazon.com/albums/B09H96KZGD?/trackAsin=B09H9JWQNZ</t>
  </si>
  <si>
    <t>Enche-me - Ao Vivo</t>
  </si>
  <si>
    <t>https://music.amazon.com/albums/B0DFZ1H96W?/trackAsin=B0DFZ1YB5N</t>
  </si>
  <si>
    <t>Menina Veneno</t>
  </si>
  <si>
    <t>Ritchie</t>
  </si>
  <si>
    <t>https://music.amazon.com/albums/B01E0MZYZY?/trackAsin=B01E0N02CS</t>
  </si>
  <si>
    <t>Terminou Pra Que - Ao Vivo</t>
  </si>
  <si>
    <t>Hugo Henrique</t>
  </si>
  <si>
    <t>https://music.amazon.com/albums/B0F4689VKV?/trackAsin=B0F46J8TNP</t>
  </si>
  <si>
    <t>Deserto (Ao Vivo)</t>
  </si>
  <si>
    <t>https://music.amazon.com/albums/B0BB8FM1MD?/trackAsin=B0BB8KGS1V</t>
  </si>
  <si>
    <t>MK Network</t>
  </si>
  <si>
    <t>Jeová Jireh (Versão Estendida)</t>
  </si>
  <si>
    <t>Aline Barros</t>
  </si>
  <si>
    <t>https://music.amazon.com/albums/B09RPMF4TP?/trackAsin=B09RPG818L</t>
  </si>
  <si>
    <t>Ele Se Move</t>
  </si>
  <si>
    <t>https://music.amazon.com/albums/B09VY47D51?/trackAsin=B09VY3G8G3</t>
  </si>
  <si>
    <t>Black</t>
  </si>
  <si>
    <t>Pearl Jam</t>
  </si>
  <si>
    <t>https://music.amazon.com/albums/B00A46H3J6?/trackAsin=B00A46H5A8</t>
  </si>
  <si>
    <t>Epic/Legacy</t>
  </si>
  <si>
    <t>Espírito Santo (feat. Weslei Santos &amp; Marcus Salles) - Ao Vivo no Sintonize</t>
  </si>
  <si>
    <t>https://music.amazon.com/albums/B09NLHV4DB?/trackAsin=B09NLKB6F4</t>
  </si>
  <si>
    <t>Mulher de Fases</t>
  </si>
  <si>
    <t>Raimundos</t>
  </si>
  <si>
    <t>https://music.amazon.com/albums/B073JZGM7L?/trackAsin=B073LRMMMY</t>
  </si>
  <si>
    <t>Mania De Você</t>
  </si>
  <si>
    <t>Rita Lee</t>
  </si>
  <si>
    <t>https://music.amazon.com/albums/B073JQM365?/trackAsin=B073RJD8SW</t>
  </si>
  <si>
    <t>CLONE - Ao Vivo</t>
  </si>
  <si>
    <t>https://music.amazon.com/albums/B0DKWC696J?/trackAsin=B0DKVZY57J</t>
  </si>
  <si>
    <t>Feliz, Alegre e Forte</t>
  </si>
  <si>
    <t>https://music.amazon.com/albums/B09ZXBYSX9?/trackAsin=B09ZXQCDJ5</t>
  </si>
  <si>
    <t>Tropicana (Morena Tropicana)</t>
  </si>
  <si>
    <t>https://music.amazon.com/albums/B000XXX8S0?/trackAsin=B073HB9RVL</t>
  </si>
  <si>
    <t>https://music.amazon.com/albums/B0CY3SBHM6?/trackAsin=B0CY49T417</t>
  </si>
  <si>
    <t>Vilarejo</t>
  </si>
  <si>
    <t>https://music.amazon.com/albums/B088664WXQ?/trackAsin=B0885RM9ZQ</t>
  </si>
  <si>
    <t>Por Você</t>
  </si>
  <si>
    <t>Frejat</t>
  </si>
  <si>
    <t>https://music.amazon.com/albums/B076MMPP7Y?/trackAsin=B076MKC3DS</t>
  </si>
  <si>
    <t>Canal Brasil</t>
  </si>
  <si>
    <t>solteiro forçado - boiadeira internacional</t>
  </si>
  <si>
    <t>https://music.amazon.com/albums/B0C7TQ4QP5?/trackAsin=B0C7TC96PK</t>
  </si>
  <si>
    <t>AgroPlay do Brasil</t>
  </si>
  <si>
    <t>Amado</t>
  </si>
  <si>
    <t>https://music.amazon.com/albums/B01DKQO6JQ?/trackAsin=B01DKQOFB0</t>
  </si>
  <si>
    <t>Chegaste</t>
  </si>
  <si>
    <t>https://music.amazon.com/albums/B06ZXSB6XN?/trackAsin=B06ZYCCJL7</t>
  </si>
  <si>
    <t>Ao Vivo E A Cores</t>
  </si>
  <si>
    <t>https://music.amazon.com/albums/B07CVK29TG?/trackAsin=B07CVKSDRL</t>
  </si>
  <si>
    <t>João Viu / Além do Rio Azul - Ao Vivo</t>
  </si>
  <si>
    <t>https://music.amazon.com/albums/B0F9F5PSQK?/trackAsin=B0F9F3LJPY</t>
  </si>
  <si>
    <t>Fácil</t>
  </si>
  <si>
    <t>Jota Quest</t>
  </si>
  <si>
    <t>https://music.amazon.com/albums/B007RF3ER2?/trackAsin=B007RF3I00</t>
  </si>
  <si>
    <t>Chaos</t>
  </si>
  <si>
    <t>Equalize</t>
  </si>
  <si>
    <t>Pitty</t>
  </si>
  <si>
    <t>https://music.amazon.com/albums/B00TZU2DJC?/trackAsin=B00TZU2INI</t>
  </si>
  <si>
    <t>ninguém explica deus (feat. gabriela rocha) - ao vivo</t>
  </si>
  <si>
    <t>https://music.amazon.com/albums/B018F3C7CM?/trackAsin=B018F3BY7Q</t>
  </si>
  <si>
    <t>https://music.amazon.com/albums/B01NBTSVDN?/trackAsin=B01MS6IM0X</t>
  </si>
  <si>
    <t>Acalma o Meu Coração</t>
  </si>
  <si>
    <t>https://music.amazon.com/albums/B07YJ8R67C?/trackAsin=B07YJ7JNG3</t>
  </si>
  <si>
    <t>Oceano</t>
  </si>
  <si>
    <t>https://music.amazon.com/albums/B01EDIDPE2?/trackAsin=B01EDIDQE6</t>
  </si>
  <si>
    <t>https://music.amazon.com/albums/B0F8N7TDBZ?/trackAsin=B0F8N17TJR</t>
  </si>
  <si>
    <t>https://music.amazon.com/albums/B0FD256Q8D?/trackAsin=B0FD18X5WW</t>
  </si>
  <si>
    <t>Eu Fujo</t>
  </si>
  <si>
    <t>https://music.amazon.com/albums/B0DCMM1M1W?/trackAsin=B0DCMLN7PY</t>
  </si>
  <si>
    <t>Paciência</t>
  </si>
  <si>
    <t>Lenine</t>
  </si>
  <si>
    <t>https://music.amazon.com/albums/B073JZBX87?/trackAsin=B073LTSWB9</t>
  </si>
  <si>
    <t>Casa 9</t>
  </si>
  <si>
    <t>Palavras Ao Vento</t>
  </si>
  <si>
    <t>https://music.amazon.com/albums/B073JRXVRG?/trackAsin=B073R8XLTM</t>
  </si>
  <si>
    <t>Cristo + Tudo É Teu (Ao Vivo no Jesus Vida Verão)</t>
  </si>
  <si>
    <t>https://music.amazon.com/albums/B0F1X632QV?/trackAsin=B0F1XB1R21</t>
  </si>
  <si>
    <t>Farol Music</t>
  </si>
  <si>
    <t>Resposta</t>
  </si>
  <si>
    <t>https://music.amazon.com/albums/B00UV18IOI?/trackAsin=B00UV18UYG</t>
  </si>
  <si>
    <t>Xote Dos Milagres</t>
  </si>
  <si>
    <t>https://music.amazon.com/albums/B00U0VE43S?/trackAsin=B00U0VE6OU</t>
  </si>
  <si>
    <t>https://music.amazon.com/albums/B001NS5LAW?/trackAsin=B001NS5LMA</t>
  </si>
  <si>
    <t>Warner Music Group - X5 Music Group</t>
  </si>
  <si>
    <t>Poema</t>
  </si>
  <si>
    <t>Ney Matogrosso</t>
  </si>
  <si>
    <t>https://music.amazon.com/albums/B073JKNHRM?/trackAsin=B073NNGJLD</t>
  </si>
  <si>
    <t>Trevo (Tu)</t>
  </si>
  <si>
    <t>https://music.amazon.com/albums/B0CRSNL4XX?/trackAsin=B0CRSFTCG1</t>
  </si>
  <si>
    <t>Por Causa Dele - Ao Vivo</t>
  </si>
  <si>
    <t>Kellen Byanca</t>
  </si>
  <si>
    <t>https://music.amazon.com/albums/B0B4F38CPX?/trackAsin=B0B4F4YLC7</t>
  </si>
  <si>
    <t>Porque Ele Vive</t>
  </si>
  <si>
    <t>Cia SALT</t>
  </si>
  <si>
    <t>https://music.amazon.com/albums/B0DFZ4ZJYL?/trackAsin=B0DFZLHMF3</t>
  </si>
  <si>
    <t>A Casa é Sua</t>
  </si>
  <si>
    <t>Padre Marcelo Rossi</t>
  </si>
  <si>
    <t>https://music.amazon.com/albums/B0D4PSS4F5?/trackAsin=B0D4P3CYYK</t>
  </si>
  <si>
    <t>Eu Seguirei (Ao Vivo)</t>
  </si>
  <si>
    <t>Frei Gilson</t>
  </si>
  <si>
    <t>https://music.amazon.com/albums/B07RZ97LVJ?/trackAsin=B07RYBB5ZJ</t>
  </si>
  <si>
    <t>Som do Monte</t>
  </si>
  <si>
    <t>Eu Te Levantarei</t>
  </si>
  <si>
    <t>https://music.amazon.com/albums/B08DR3WMCN?/trackAsin=B08DQX27SZ</t>
  </si>
  <si>
    <t>Sutilmente</t>
  </si>
  <si>
    <t>https://music.amazon.com/albums/B003UY9PUE?/trackAsin=B003UY6RFK</t>
  </si>
  <si>
    <t>Rancorosa - Ao Vivo Em Brasília</t>
  </si>
  <si>
    <t>Wonderwall</t>
  </si>
  <si>
    <t>https://music.amazon.com/albums/B089Y3CXQJ?/trackAsin=B073QP1KNX</t>
  </si>
  <si>
    <t>Piak Rank</t>
  </si>
  <si>
    <t>https://music.amazon.com/albums/B0FD256Q8D?/trackAsin=B0FD1W7J4N</t>
  </si>
  <si>
    <t>https://music.apple.com/us/album/null/1809247774?i=1809247776</t>
  </si>
  <si>
    <t>https://music.apple.com/us/album/null/1794387819?i=1794387821</t>
  </si>
  <si>
    <t>https://music.apple.com/us/album/null/1763712154?i=1763712155</t>
  </si>
  <si>
    <t>https://music.apple.com/us/album/null/1793663382?i=1793663645</t>
  </si>
  <si>
    <t>https://music.apple.com/us/album/null/971393095?i=971393837</t>
  </si>
  <si>
    <t>Nocaute</t>
  </si>
  <si>
    <t>https://music.apple.com/us/album/null/1832056208?i=1832056420</t>
  </si>
  <si>
    <t>https://music.apple.com/us/album/null/1759670683?i=1759670687</t>
  </si>
  <si>
    <t>https://music.apple.com/us/album/null/1793869707?i=1793869710</t>
  </si>
  <si>
    <t>https://music.apple.com/us/album/null/1762656724?i=1762656732</t>
  </si>
  <si>
    <t>https://music.apple.com/ru/album/null/1579983501?i=1579983762</t>
  </si>
  <si>
    <t>Melhor Que Muita Gente</t>
  </si>
  <si>
    <t>https://music.apple.com/us/album/null/1769711516?i=1769711525</t>
  </si>
  <si>
    <t>https://music.apple.com/us/album/null/1820264137?i=1820264150</t>
  </si>
  <si>
    <t>https://music.apple.com/us/album/null/1724488123?i=1724488124</t>
  </si>
  <si>
    <t>https://music.apple.com/us/album/null/1793793204?i=1793793220</t>
  </si>
  <si>
    <t>https://music.apple.com/us/album/null/1824672650?i=1824672652</t>
  </si>
  <si>
    <t>https://music.apple.com/us/album/null/1776676751?i=1776676823</t>
  </si>
  <si>
    <t>https://music.apple.com/us/album/null/1597533611?i=1597533613</t>
  </si>
  <si>
    <t>https://music.apple.com/us/album/null/1818103444?i=1818103445</t>
  </si>
  <si>
    <t>https://music.apple.com/us/album/null/1820270572?i=1820270727</t>
  </si>
  <si>
    <t>https://music.apple.com/us/album/null/1769640067?i=1769640075</t>
  </si>
  <si>
    <t>https://music.apple.com/us/album/null/1739659134?i=1739659142</t>
  </si>
  <si>
    <t>https://music.apple.com/us/album/null/1587370253?i=1587370262</t>
  </si>
  <si>
    <t>Você Beberia Ou Não Beberia?</t>
  </si>
  <si>
    <t>https://music.apple.com/us/album/null/1822425415?i=1822425416</t>
  </si>
  <si>
    <t>https://music.apple.com/us/album/null/1572917954?i=1572917957</t>
  </si>
  <si>
    <t>Expectativa x Realidade</t>
  </si>
  <si>
    <t>https://music.apple.com/us/album/null/1763905120?i=1763905127</t>
  </si>
  <si>
    <t>https://music.apple.com/co/album/null/1691209647?i=1691209649</t>
  </si>
  <si>
    <t>Diego &amp; Victor Hugo, Luan Pereira</t>
  </si>
  <si>
    <t>Pirulito Vermelho</t>
  </si>
  <si>
    <t>https://music.apple.com/us/album/null/1773452219?i=1773452221</t>
  </si>
  <si>
    <t>https://music.apple.com/us/album/null/1778044510?i=1778044760</t>
  </si>
  <si>
    <t>https://music.apple.com/us/album/null/1691699589?i=1691699836</t>
  </si>
  <si>
    <t>https://music.apple.com/us/album/null/1575969504?i=1575969507</t>
  </si>
  <si>
    <t>Online - Ao Vivo</t>
  </si>
  <si>
    <t>https://music.apple.com/it/album/null/1667859111?i=1667859135</t>
  </si>
  <si>
    <t>https://music.apple.com/us/album/null/1792666546?i=1792667011</t>
  </si>
  <si>
    <t>Vanish Into You</t>
  </si>
  <si>
    <t>https://music.apple.com/us/album/null/1350040681?i=1350041630</t>
  </si>
  <si>
    <t>Propaganda - Ao Vivo</t>
  </si>
  <si>
    <t>https://music.apple.com/us/album/null/1831224569?i=1831224570</t>
  </si>
  <si>
    <t>https://music.apple.com/us/album/null/1814261664?i=1814261665</t>
  </si>
  <si>
    <t>https://music.apple.com/us/album/null/1576560821?i=1576561270</t>
  </si>
  <si>
    <t>Henrique &amp; Juliano, Marília Mendonça</t>
  </si>
  <si>
    <t>completa a frase (completa aí) - ao vivo</t>
  </si>
  <si>
    <t>https://music.apple.com/us/album/null/1761387793?i=1761388017</t>
  </si>
  <si>
    <t>https://music.apple.com/us/album/null/1470102696?i=1470102706</t>
  </si>
  <si>
    <t>https://music.apple.com/us/album/null/1729621946?i=1729621956</t>
  </si>
  <si>
    <t>https://music.apple.com/us/album/null/1740212432?i=1740212434</t>
  </si>
  <si>
    <t>https://music.apple.com/us/album/null/1808555160?i=1808555161</t>
  </si>
  <si>
    <t>https://music.apple.com/us/album/null/1819857663?i=1819857847</t>
  </si>
  <si>
    <t>https://music.apple.com/us/album/null/1739659134?i=1739659144</t>
  </si>
  <si>
    <t>https://music.apple.com/tm/album/null/1658237091?i=1658237095</t>
  </si>
  <si>
    <t>Leão</t>
  </si>
  <si>
    <t>https://music.apple.com/us/album/null/1077863845?i=1077864297</t>
  </si>
  <si>
    <t>Louca de Saudade - Ao Vivo</t>
  </si>
  <si>
    <t>https://music.apple.com/us/album/null/1815347180?i=1815347184</t>
  </si>
  <si>
    <t>https://music.apple.com/us/album/null/1077863845?i=1077864159</t>
  </si>
  <si>
    <t>Pra Sempre Com Você - Ao Vivo</t>
  </si>
  <si>
    <t>https://music.apple.com/us/album/null/1774826571?i=1774826584</t>
  </si>
  <si>
    <t>https://music.apple.com/us/album/null/1803241760?i=1803241775</t>
  </si>
  <si>
    <t>Lua Cheia</t>
  </si>
  <si>
    <t>https://music.apple.com/us/album/null/1739659134?i=1739659141</t>
  </si>
  <si>
    <t>CHIHIRO</t>
  </si>
  <si>
    <t>https://music.apple.com/us/album/null/1830268550?i=1830268560</t>
  </si>
  <si>
    <t>https://music.apple.com/us/album/null/1228739599?i=1228739609</t>
  </si>
  <si>
    <t>New Rules</t>
  </si>
  <si>
    <t>https://music.apple.com/us/album/null/1743250148?i=1743250261</t>
  </si>
  <si>
    <t>https://music.apple.com/us/album/null/713514746?i=713514810</t>
  </si>
  <si>
    <t>https://music.apple.com/us/album/null/1377826053?i=1377826892</t>
  </si>
  <si>
    <t>https://music.apple.com/us/album/null/1488408555?i=1488408568</t>
  </si>
  <si>
    <t>https://music.apple.com/us/album/null/1811464270?i=1811464273</t>
  </si>
  <si>
    <t>https://music.apple.com/us/album/null/1813244635?i=1813244636</t>
  </si>
  <si>
    <t>spotify:track:47lS4QkejzTxY058UmbQhv</t>
  </si>
  <si>
    <t>CountryBeat, Rionegro &amp; Solimões</t>
  </si>
  <si>
    <t>Apaixona Muita Gente - Ao Vivo</t>
  </si>
  <si>
    <t>CountryBeat</t>
  </si>
  <si>
    <t>spotify:track:6WjPuwI7jxzqLWwFXr60m4</t>
  </si>
  <si>
    <t>spotify:artist:5IREutgMnyQqRcc8r15gWk</t>
  </si>
  <si>
    <t>spotify:track:2yEVSy5jtTkY4HLbSOcRHQ</t>
  </si>
  <si>
    <t>MC Pett, MC Pipokinha, Dj Will Canalha, PIPOKANDO FLUXOS</t>
  </si>
  <si>
    <t>Eu Vou Bater Tambor</t>
  </si>
  <si>
    <t>LITTLEPOPCORN SERVICOS LTDA</t>
  </si>
  <si>
    <t>spotify:track:68Qn3HtP5XnQVAIw1e9rvO</t>
  </si>
  <si>
    <t>MC Nito, MT DO PALACIO, BK2P, Rennan da Penha</t>
  </si>
  <si>
    <t>THAINÁ THAINÁ</t>
  </si>
  <si>
    <t>DJ Penelope Lee</t>
  </si>
  <si>
    <t>spotify:track:4bK0eX2k4XvwLTNm0xoinz</t>
  </si>
  <si>
    <t>Gordinho Bolado, Felipe Original, Bolado na Base</t>
  </si>
  <si>
    <t>Eu Tô Fazendo uma Mágica</t>
  </si>
  <si>
    <t>Original Hits</t>
  </si>
  <si>
    <t>spotify:track:2mdEsXPu8ZmkHRRtAdC09e</t>
  </si>
  <si>
    <t>Cinnamon Girl</t>
  </si>
  <si>
    <t>spotify:track:7gKxCvTDWwV9wBhdeBbr3l</t>
  </si>
  <si>
    <t>Nice To Each Other</t>
  </si>
  <si>
    <t>https://www.youtube.com/watch?v=6-uHbxfkNgA</t>
  </si>
  <si>
    <t>SÓ TEM EU</t>
  </si>
  <si>
    <t>36</t>
  </si>
  <si>
    <t>https://www.youtube.com/watch?v=KXJpP0jd9Lk</t>
  </si>
  <si>
    <t>https://www.youtube.com/watch?v=h_aRZwzjYxs</t>
  </si>
  <si>
    <t>71</t>
  </si>
  <si>
    <t>https://www.youtube.com/watch?v=VnPB-H7Zo7Y</t>
  </si>
  <si>
    <t>Sonho de Amor (Ao Vivo)</t>
  </si>
  <si>
    <t>https://deezer.com/track/2111539977</t>
  </si>
  <si>
    <t>https://deezer.com/track/3412534581</t>
  </si>
  <si>
    <t>https://deezer.com/track/3380550011</t>
  </si>
  <si>
    <t>https://deezer.com/track/3359004801</t>
  </si>
  <si>
    <t>https://music.amazon.com/albums/B09HMPZWZG?/trackAsin=B09HMCXXBV</t>
  </si>
  <si>
    <t>Eli Soares</t>
  </si>
  <si>
    <t>Se Eu Cair</t>
  </si>
  <si>
    <t>https://music.amazon.com/albums/B09XPKD8XC?/trackAsin=B09XPQ8QMD</t>
  </si>
  <si>
    <t>Imensurável (Amazon Original) - Ao Vivo</t>
  </si>
  <si>
    <t>https://music.amazon.com/albums/B08T122P23?/trackAsin=B08T1JGBLJ</t>
  </si>
  <si>
    <t>Começo, Meio e Fim / Mais Perto Quero Estar - Ao Vivo</t>
  </si>
  <si>
    <t>https://music.amazon.com/albums/B088ZD68KX?/trackAsin=B088YKRJVH</t>
  </si>
  <si>
    <t>É Tempo de Abrir o Coração - Ao Vivo</t>
  </si>
  <si>
    <t>https://music.amazon.com/albums/B0DFZ9GN3Y?/trackAsin=B0DFZQP9W5</t>
  </si>
  <si>
    <t>Jesus em Tua Presença // Ao Único // Eu Navegarei - Ao Vivo</t>
  </si>
  <si>
    <t>https://music.amazon.com/albums/B07SYF71HB?/trackAsin=B07SXDHVNW</t>
  </si>
  <si>
    <t>deus não está morto</t>
  </si>
  <si>
    <t>https://music.amazon.com/albums/B07SZZLY8H?/trackAsin=B07SYF8XJ3</t>
  </si>
  <si>
    <t>não mais escravos - ao vivo</t>
  </si>
  <si>
    <t>https://music.amazon.com/albums/B0FFC2LSPW?/trackAsin=B0FFBT8B7L</t>
  </si>
  <si>
    <t>Leandro Borges</t>
  </si>
  <si>
    <t>Deus e Eu - Ao Vivo</t>
  </si>
  <si>
    <t>Alpha music</t>
  </si>
  <si>
    <t>https://music.amazon.com/albums/B07S78GPJ6?/trackAsin=B07SDMJLCS</t>
  </si>
  <si>
    <t>Ministério Avivah</t>
  </si>
  <si>
    <t>Maranata - Ao Vivo</t>
  </si>
  <si>
    <t>VMusicbr</t>
  </si>
  <si>
    <t>https://music.amazon.com/albums/B0DC1GMBG7?/trackAsin=B0DC1RT75H</t>
  </si>
  <si>
    <t>Canção de Paulo (Ao Vivo)</t>
  </si>
  <si>
    <t>https://music.amazon.com/albums/B0F2TGY3N4?/trackAsin=B0F2TGWJ51</t>
  </si>
  <si>
    <t>Sê Forte</t>
  </si>
  <si>
    <t>https://music.amazon.com/albums/B07VBR97LM?/trackAsin=B07VBR99HM</t>
  </si>
  <si>
    <t>Davi Sacer</t>
  </si>
  <si>
    <t>Restitui - Ao Vivo</t>
  </si>
  <si>
    <t>https://music.amazon.com/albums/B0F6WR8DP8?/trackAsin=B0F6WHW46C</t>
  </si>
  <si>
    <t>https://music.amazon.com/albums/B0B6QHC1BV?/trackAsin=B0B6QHTCLP</t>
  </si>
  <si>
    <t>Tudo é Possível (Ao Vivo)</t>
  </si>
  <si>
    <t>https://music.amazon.com/albums/B075VQWMWZ?/trackAsin=B073R4YZM1</t>
  </si>
  <si>
    <t>quero mergulhar nas profundezas - ao vivo</t>
  </si>
  <si>
    <t>National Own (UC)</t>
  </si>
  <si>
    <t>https://music.amazon.com/albums/B0BGQQQLSD?/trackAsin=B0BGQP7JXB</t>
  </si>
  <si>
    <t>Você Tem Um Pai</t>
  </si>
  <si>
    <t>https://music.amazon.com/albums/B0DWB8KJ59?/trackAsin=B0DWBF6C4N</t>
  </si>
  <si>
    <t>Kailane Frauches</t>
  </si>
  <si>
    <t>Eu Vou Fazer - Ao Vivo</t>
  </si>
  <si>
    <t>Cassiane</t>
  </si>
  <si>
    <t>Midian Lima</t>
  </si>
  <si>
    <t>https://music.amazon.com/albums/B081G6LNVD?/trackAsin=B081GK8RHS</t>
  </si>
  <si>
    <t>Toca em Mim de Novo</t>
  </si>
  <si>
    <t>https://music.amazon.com/albums/B07VTSX6XT?/trackAsin=B07VWDY65V</t>
  </si>
  <si>
    <t>Locked Out of Heaven</t>
  </si>
  <si>
    <t>https://music.amazon.com/albums/B0CV5V5LYJ?/trackAsin=B0CV5S3KVH</t>
  </si>
  <si>
    <t>https://music.amazon.com/albums/B0BYR7Z6YC?/trackAsin=B0BYRFKFY4</t>
  </si>
  <si>
    <t>Eis Que Estou à Porta - Live</t>
  </si>
  <si>
    <t>https://music.amazon.com/albums/B01MXPRPB3?/trackAsin=B01MZWT0OJ</t>
  </si>
  <si>
    <t>Creio Que Tu és a Cura (Healer) - Ao Vivo</t>
  </si>
  <si>
    <t>https://music.amazon.com/albums/B08PY4RR2H?/trackAsin=B08PYQV3BG</t>
  </si>
  <si>
    <t>A Mesa</t>
  </si>
  <si>
    <t>https://music.amazon.com/albums/B0CYR835N2?/trackAsin=B0CYRCLLHM</t>
  </si>
  <si>
    <t>Waves Retransmissão E Comunicação</t>
  </si>
  <si>
    <t>Data</t>
  </si>
  <si>
    <t>Mc Bringel, Lukão Mec, Lado Sul</t>
  </si>
  <si>
    <t>spotify:track:02BcXEH1zJYbXSabPtNlKf</t>
  </si>
  <si>
    <t>Don Toliver, Doja Cat, F1 The Album</t>
  </si>
  <si>
    <t>Lose My Mind (feat. Doja Cat) [From F1® The Movie]</t>
  </si>
  <si>
    <t>spotify:artist:26VFTg2z8YR0cCuwLzESi2</t>
  </si>
  <si>
    <t>Halsey</t>
  </si>
  <si>
    <t>spotify:artist:3AA28KZvwAUcZuOKwyblJQ</t>
  </si>
  <si>
    <t>Gorillaz</t>
  </si>
  <si>
    <t>https://music.apple.com/us/album/null/1834042903?i=1834042905</t>
  </si>
  <si>
    <t>https://music.amazon.com/albums/B01EJV9ETS?/trackAsin=B01EJV9NQW</t>
  </si>
  <si>
    <t>Raça Negra</t>
  </si>
  <si>
    <t>Cheia de Manias</t>
  </si>
  <si>
    <t>https://music.amazon.com/albums/B0013JZEOE?/trackAsin=B0013JXAFO</t>
  </si>
  <si>
    <t>Lulu Santos</t>
  </si>
  <si>
    <t>Um Certo Alguém</t>
  </si>
  <si>
    <t>15</t>
  </si>
  <si>
    <t>21</t>
  </si>
  <si>
    <t>44</t>
  </si>
  <si>
    <t>https://www.youtube.com/watch?v=IMOgRTxv3nw</t>
  </si>
  <si>
    <t>CASA Worship</t>
  </si>
  <si>
    <t>Yeshua + Espontâneo</t>
  </si>
  <si>
    <t>61</t>
  </si>
  <si>
    <t>https://www.youtube.com/watch?v=lI8OpUT3NmQ</t>
  </si>
  <si>
    <t>Ministério Pra Tua Glória</t>
  </si>
  <si>
    <t>Me Refaz (Ao Vivo)</t>
  </si>
  <si>
    <t>Corte Chart</t>
  </si>
  <si>
    <t>spotify:track:6Ap9SM1WkmI4b4Mo2Cpa6f</t>
  </si>
  <si>
    <t>NATTAN, Léo Foguete</t>
  </si>
  <si>
    <t>spotify:artist:5kKzlgNRX8FgC6Bni5DNNC</t>
  </si>
  <si>
    <t>Dj Victor</t>
  </si>
  <si>
    <t>spotify:track:6GWu40m8Bx5nmu4Mt6amQ3</t>
  </si>
  <si>
    <t>Morenin Da 25, Dj Tchouzen, DJAY VMC, DJ Martins 011, SoundMusic Original</t>
  </si>
  <si>
    <t>VAI SENTA LA NO CINEMA</t>
  </si>
  <si>
    <t>spotify:track:6Tz1pVZASlwQAAEi7Rb9Ut</t>
  </si>
  <si>
    <t>DUDA BEAT, AJULIACOSTA</t>
  </si>
  <si>
    <t>você vai gostar</t>
  </si>
  <si>
    <t>spotify:track:4xLQfmGJM8UZ0Wagq3lRew</t>
  </si>
  <si>
    <t>Kempa, Empire Street</t>
  </si>
  <si>
    <t>Ta Tarde</t>
  </si>
  <si>
    <t>Empire Street</t>
  </si>
  <si>
    <t>spotify:track:5pT34RDdUUTElshbNNuteI</t>
  </si>
  <si>
    <t>Samantha Machado, Claudinho Brasil</t>
  </si>
  <si>
    <t>Livre Pra Voar - Radio Edit</t>
  </si>
  <si>
    <t>spotify:track:4R2kfaDFhslZEMJqAFNpdd</t>
  </si>
  <si>
    <t>cardigan</t>
  </si>
  <si>
    <t>spotify:track:4WU8ZRMoonGLw00lXLOvpY</t>
  </si>
  <si>
    <t>MIÜ, Zalia, Koder, Leon Krześniak</t>
  </si>
  <si>
    <t>dopóki się nie znüdzisz</t>
  </si>
  <si>
    <t>spotify:track:3KZTPBbTMFLNbfoQoxEpXn</t>
  </si>
  <si>
    <t>ivri</t>
  </si>
  <si>
    <t>tower of memories</t>
  </si>
  <si>
    <t>spotify:track:5krhWYmWIKJhI96deUujm8</t>
  </si>
  <si>
    <t>Bad Omens</t>
  </si>
  <si>
    <t>Specter</t>
  </si>
  <si>
    <t>Sumerian Records</t>
  </si>
  <si>
    <t>spotify:track:07fNxq0gkGFZpAYCTd0v2A</t>
  </si>
  <si>
    <t>Topspot Records</t>
  </si>
  <si>
    <t>BigXthaPlug, Ella Langley</t>
  </si>
  <si>
    <t>Hell At Night (feat. Ella Langley)</t>
  </si>
  <si>
    <t>BigXthaPlug under exclusive license to UnitedMasters LLC</t>
  </si>
  <si>
    <t>spotify:track:3gJ16QEGGhLFPNLvbXgB1u</t>
  </si>
  <si>
    <t>KI/KI, Marlon Hoffstadt</t>
  </si>
  <si>
    <t>Losing Control</t>
  </si>
  <si>
    <t>KI/KI / Marlon Hoffstadt &amp; Captiol Records</t>
  </si>
  <si>
    <t>avex trax</t>
  </si>
  <si>
    <t>spotify:track:0WsC4ETIXyiHDMXRaPMvKe</t>
  </si>
  <si>
    <t>Gunna, Burna Boy</t>
  </si>
  <si>
    <t>wgft (feat. Burna Boy)</t>
  </si>
  <si>
    <t>Orula</t>
  </si>
  <si>
    <t>spotify:track:1iTBWVDuQaQ7yMybZri66d</t>
  </si>
  <si>
    <t>Kidd Voodoo</t>
  </si>
  <si>
    <t>Destello...</t>
  </si>
  <si>
    <t>spotify:track:0XWf8CRB6IptewumZDi5b6</t>
  </si>
  <si>
    <t>keshi</t>
  </si>
  <si>
    <t>WANTCHU</t>
  </si>
  <si>
    <t>spotify:track:544MbvxR6BADypONwJlZAp</t>
  </si>
  <si>
    <t>Alex Warren, Luke Combs</t>
  </si>
  <si>
    <t>Ordinary (feat. Luke Combs) - Live from Lollapalooza</t>
  </si>
  <si>
    <t>spotify:track:7BIWqwuOJMKQN2GCjXQ7Fh</t>
  </si>
  <si>
    <t>Poizi</t>
  </si>
  <si>
    <t>HAİNSİN</t>
  </si>
  <si>
    <t>spotify:track:1ppuvA6Jl2GYrwPcvLeRic</t>
  </si>
  <si>
    <t>NO ERA AMOR - Super Slowed</t>
  </si>
  <si>
    <t>https://music.amazon.com/albums/B0FJ2XBGQQ?/trackAsin=B0FJ2YWTD2</t>
  </si>
  <si>
    <t>https://music.amazon.com/albums/B0FJ2XBGQQ?/trackAsin=B0FJ2ZKP2X</t>
  </si>
  <si>
    <t>https://music.amazon.com/albums/B09HN8KZKH?/trackAsin=B09HNCJFBC</t>
  </si>
  <si>
    <t>cuida bem dela - ao vivo</t>
  </si>
  <si>
    <t>https://music.amazon.com/albums/B0DS46YCRM?/trackAsin=B0DS4HGPVQ</t>
  </si>
  <si>
    <t>Fim De Namoro - Ao Vivo</t>
  </si>
  <si>
    <t>https://music.amazon.com/albums/B0CVBNBBYB?/trackAsin=B0CVBMDTRS</t>
  </si>
  <si>
    <t>Morena De Goiânia - Ao Vivo</t>
  </si>
  <si>
    <t>https://music.amazon.com/albums/B0DFX25T8M?/trackAsin=B0DFX2TJCG</t>
  </si>
  <si>
    <t>https://music.amazon.com/albums/B0CCGN8HL7?/trackAsin=B0CCH3M75X</t>
  </si>
  <si>
    <t>https://music.amazon.com/albums/B09QY7MQ49?/trackAsin=B09QY8DBYC</t>
  </si>
  <si>
    <t>Theo Rubia</t>
  </si>
  <si>
    <t>Eu Só Quero Tua Presença - Ao Vivo</t>
  </si>
  <si>
    <t>https://music.amazon.com/albums/B0DM2LKJHH?/trackAsin=B0DM2NDXVY</t>
  </si>
  <si>
    <t>Mais do Mesmo (Ao Vivo)</t>
  </si>
  <si>
    <t>https://music.amazon.com/albums/B0829WXNBY?/trackAsin=B073H9WDRT</t>
  </si>
  <si>
    <t>Anunciação</t>
  </si>
  <si>
    <t>IMS</t>
  </si>
  <si>
    <t>https://music.amazon.com/albums/B0CW7DB3LK?/trackAsin=B0CW761SGQ</t>
  </si>
  <si>
    <t>Fronteira - Ao Vivo</t>
  </si>
  <si>
    <t>https://music.amazon.com/albums/B005I6I15M?/trackAsin=B005I6I1E8</t>
  </si>
  <si>
    <t>Pais E Filhos</t>
  </si>
  <si>
    <t>Os Paralamas Do Sucesso</t>
  </si>
  <si>
    <t>https://music.amazon.com/albums/B08GKZM6J1?/trackAsin=B08GKYTLFB</t>
  </si>
  <si>
    <t>Coração Bandido</t>
  </si>
  <si>
    <t>https://music.amazon.com/albums/B0DPYJ1395?/trackAsin=B0DPYGLRTW</t>
  </si>
  <si>
    <t>80 Anos - Ao Vivo</t>
  </si>
  <si>
    <t>33</t>
  </si>
  <si>
    <t>35</t>
  </si>
  <si>
    <t>37</t>
  </si>
  <si>
    <t>42</t>
  </si>
  <si>
    <t>https://www.youtube.com/watch?v=t616WDzKOfQ</t>
  </si>
  <si>
    <t>Pilantra e Meio (Ao Vivo)</t>
  </si>
  <si>
    <t>55</t>
  </si>
  <si>
    <t>69</t>
  </si>
  <si>
    <t>https://www.youtube.com/watch?v=d5_42xL2bZg</t>
  </si>
  <si>
    <t>A Noite (Ao Vivo)</t>
  </si>
  <si>
    <t>https://www.youtube.com/watch?v=sRc1Fh0y3ZI</t>
  </si>
  <si>
    <t>Seu Desejo</t>
  </si>
  <si>
    <t>86</t>
  </si>
  <si>
    <t>cond</t>
  </si>
  <si>
    <t>Quem É Esse? - Ao Vivo</t>
  </si>
  <si>
    <t>Nakama, ΣP</t>
  </si>
  <si>
    <t>spotify:track:4PCK1yo22yS5BzE5Uy4ua1</t>
  </si>
  <si>
    <t>Um Maluco Cowboy - Ao Vivo</t>
  </si>
  <si>
    <t>spotify:track:1oFqKeepmT5S8BCGqJl7Ar</t>
  </si>
  <si>
    <t>spotify:track:5g4lV9xYPkHVwMK4piEVw3</t>
  </si>
  <si>
    <t>Emaús Music</t>
  </si>
  <si>
    <t>Refúgio - Ao Vivo</t>
  </si>
  <si>
    <t>JP MUSIC</t>
  </si>
  <si>
    <t>spotify:artist:6TKygPpVT29oGUogu4J9Ec</t>
  </si>
  <si>
    <t>Yan Block</t>
  </si>
  <si>
    <t>spotify:track:4yU3KRhKSYaj0ERbv629R7</t>
  </si>
  <si>
    <t>Banfy, Sheridan</t>
  </si>
  <si>
    <t>Bam Bam</t>
  </si>
  <si>
    <t>Emme Sound</t>
  </si>
  <si>
    <t>spotify:track:4H8ns1mp3witrdJGLrJXR6</t>
  </si>
  <si>
    <t>Y</t>
  </si>
  <si>
    <t>46</t>
  </si>
  <si>
    <t>54</t>
  </si>
  <si>
    <t>48</t>
  </si>
  <si>
    <t>Comedinha Ficou Bravo</t>
  </si>
  <si>
    <t>96</t>
  </si>
  <si>
    <t>Zé Vaqueiro</t>
  </si>
  <si>
    <t>https://deezer.com/track/3075887151</t>
  </si>
  <si>
    <t>Sensível Demais / À Primeira Vista / Telegrama - Ao Vivo</t>
  </si>
  <si>
    <t>spotify:track:195OmttZuzAbHXaWDBgyv0</t>
  </si>
  <si>
    <t>DJ BOSS, CountryBeat, MC Will.G</t>
  </si>
  <si>
    <t>Mega Rancho do Rincon</t>
  </si>
  <si>
    <t>DJ Boss Records</t>
  </si>
  <si>
    <t>Alteração</t>
  </si>
  <si>
    <t>Semanas na Tabela</t>
  </si>
  <si>
    <t>0</t>
  </si>
  <si>
    <t>https://youtube.com/watch?v=eAIivxKZYZw</t>
  </si>
  <si>
    <t>https://youtube.com/watch?v=10XarNSkw0s</t>
  </si>
  <si>
    <t>nimino</t>
  </si>
  <si>
    <t>https://youtube.com/watch?v=WLhMxtuZr70</t>
  </si>
  <si>
    <t>Novo</t>
  </si>
  <si>
    <t>-2</t>
  </si>
  <si>
    <t>https://youtube.com/watch?v=tvPSPkugS7A</t>
  </si>
  <si>
    <t>Coração Partido (Corazón Partío) (Ao Vivo)</t>
  </si>
  <si>
    <t>VMZ</t>
  </si>
  <si>
    <t>https://youtube.com/watch?v=n5wxZ_OBUXk</t>
  </si>
  <si>
    <t>-1</t>
  </si>
  <si>
    <t>https://youtube.com/watch?v=OJYWaEWYAfo</t>
  </si>
  <si>
    <t>https://youtube.com/watch?v=Xxd0-MBsOBs</t>
  </si>
  <si>
    <t>4,1 mi</t>
  </si>
  <si>
    <t>https://youtube.com/watch?v=9Vt4XguN2-A</t>
  </si>
  <si>
    <t>https://youtube.com/watch?v=uEtGTq92Cmk</t>
  </si>
  <si>
    <t>3,9 mi</t>
  </si>
  <si>
    <t>-3</t>
  </si>
  <si>
    <t>https://youtube.com/watch?v=KzPau_0Ad7o</t>
  </si>
  <si>
    <t>Vou pela Madrugada (feat. MC Willian, DJ Guh Mix &amp; MC MENO K)</t>
  </si>
  <si>
    <t>3,7 mi</t>
  </si>
  <si>
    <t>https://youtube.com/watch?v=Ds200TtR97o</t>
  </si>
  <si>
    <t>Quem É Esse?(Live)</t>
  </si>
  <si>
    <t>https://youtube.com/watch?v=0ZF5em0MTwY</t>
  </si>
  <si>
    <t>3,4 mi</t>
  </si>
  <si>
    <t>Até Você Voltar (Ao Vivo)</t>
  </si>
  <si>
    <t>https://youtube.com/watch?v=S6JpneypYvc</t>
  </si>
  <si>
    <t>https://youtube.com/watch?v=yebNIHKAC4A</t>
  </si>
  <si>
    <t>3,3 mi</t>
  </si>
  <si>
    <t>https://youtube.com/watch?v=1dXgB4-JmKo</t>
  </si>
  <si>
    <t>https://youtube.com/watch?v=-ovQ3j_LG_c</t>
  </si>
  <si>
    <t>3,1 mi</t>
  </si>
  <si>
    <t>https://youtube.com/watch?v=KXJpP0jd9Lk</t>
  </si>
  <si>
    <t>2,9 mi</t>
  </si>
  <si>
    <t>-4</t>
  </si>
  <si>
    <t>https://youtube.com/watch?v=24Ca5PoINOE</t>
  </si>
  <si>
    <t>https://youtube.com/watch?v=KjdmmvEzGoc</t>
  </si>
  <si>
    <t>https://youtube.com/watch?v=0CzSU9XmpTo</t>
  </si>
  <si>
    <t>Só Tem Eu</t>
  </si>
  <si>
    <t>https://youtube.com/watch?v=QluYQ5eRQ3g</t>
  </si>
  <si>
    <t>Ta Rico Os Menino Do Gueto 🍀 (feat. MC GP, MC MENO K, DU'L, Dj Davi DogDog &amp; Mc Guizinho Niazi)</t>
  </si>
  <si>
    <t>Mc IG, MC Ryan SP, Mc Negão Original, DJ Japa NK, DJ DAVI DOGDOG, DU'L, MC GP, MC Meno K, Mc guizinho niazi</t>
  </si>
  <si>
    <t>https://youtube.com/watch?v=J8kbUgAFq4s</t>
  </si>
  <si>
    <t>https://youtube.com/watch?v=WpzuDyiwfSg</t>
  </si>
  <si>
    <t>Cai de Perna Aberta 2</t>
  </si>
  <si>
    <t>Gordinho Bolado, Mc Daninho, Trovão no Beat</t>
  </si>
  <si>
    <t>https://youtube.com/watch?v=diuih3FxH7Q</t>
  </si>
  <si>
    <t>https://youtube.com/watch?v=nclqEBJIxWk</t>
  </si>
  <si>
    <t>2,6 mi</t>
  </si>
  <si>
    <t>https://youtube.com/watch?v=w4q-antIDz0</t>
  </si>
  <si>
    <t>-8</t>
  </si>
  <si>
    <t>5 Da Manhã (Ao Vivo)</t>
  </si>
  <si>
    <t>https://youtube.com/watch?v=ajwW8-7ldQ0</t>
  </si>
  <si>
    <t>2,5 mi</t>
  </si>
  <si>
    <t>Amor Traumatizado (feat. Carol Biazin)</t>
  </si>
  <si>
    <t>https://youtube.com/watch?v=O8HcubSr9PA</t>
  </si>
  <si>
    <t>https://youtube.com/watch?v=t616WDzKOfQ</t>
  </si>
  <si>
    <t>Manifesto #1 - A Rua Cercada Por Divisão (feat. MUC4)</t>
  </si>
  <si>
    <t>https://youtube.com/watch?v=C6QbAV1rlxM</t>
  </si>
  <si>
    <t>2,4 mi</t>
  </si>
  <si>
    <t>-7</t>
  </si>
  <si>
    <t>DJ Gouveia</t>
  </si>
  <si>
    <t>https://youtube.com/watch?v=M_eOUE6pFKY</t>
  </si>
  <si>
    <t>THE BOX, Mc Brinquedo, MC Cebezinho, MC Tuto, Mc Laranjinha, DJ Oreia</t>
  </si>
  <si>
    <t>https://youtube.com/watch?v=VKVHDnMopkc</t>
  </si>
  <si>
    <t>2,3 mi</t>
  </si>
  <si>
    <t>2,2 mi</t>
  </si>
  <si>
    <t>DJ Japa NK, Mc Negão Original, MC Meno K</t>
  </si>
  <si>
    <t>https://youtube.com/watch?v=jI3izfFh7DQ</t>
  </si>
  <si>
    <t>Vingança</t>
  </si>
  <si>
    <t>EmillyVick, VOID</t>
  </si>
  <si>
    <t>https://youtube.com/watch?v=3nYntR_BmD0</t>
  </si>
  <si>
    <t>https://youtube.com/watch?v=T67WZx7CxY8</t>
  </si>
  <si>
    <t>https://youtube.com/watch?v=1Glj9xx8HUA</t>
  </si>
  <si>
    <t>2,1 mi</t>
  </si>
  <si>
    <t>Mc IG, Mc Lele JP, Mc Neguinho PRT, Oldilla</t>
  </si>
  <si>
    <t>https://youtube.com/watch?v=EFcfnJCOs2s</t>
  </si>
  <si>
    <t>Santo Pra Sempre (Ao Vivo)</t>
  </si>
  <si>
    <t>https://youtube.com/watch?v=u2FOGNSJfX8</t>
  </si>
  <si>
    <t>-5</t>
  </si>
  <si>
    <t>https://youtube.com/watch?v=AC8aNNki8LU</t>
  </si>
  <si>
    <t>Faz o M</t>
  </si>
  <si>
    <t>Henrique no Beat</t>
  </si>
  <si>
    <t>https://youtube.com/watch?v=IyXfvolS5xU</t>
  </si>
  <si>
    <t>2 mi</t>
  </si>
  <si>
    <t>-6</t>
  </si>
  <si>
    <t>PASSO BEM SOLTO (Slowed)</t>
  </si>
  <si>
    <t>https://youtube.com/watch?v=NT4eF9YsYnM</t>
  </si>
  <si>
    <t>47</t>
  </si>
  <si>
    <t>https://youtube.com/watch?v=Qlmfn15flQo</t>
  </si>
  <si>
    <t>https://youtube.com/watch?v=HD2sMiAwpCQ</t>
  </si>
  <si>
    <t>1,9 mi</t>
  </si>
  <si>
    <t>Mudando de Assunto (En Vivo)</t>
  </si>
  <si>
    <t>https://youtube.com/watch?v=Yi4MQecGdfA</t>
  </si>
  <si>
    <t>https://youtube.com/watch?v=983bBbJx0Mk</t>
  </si>
  <si>
    <t>1,8 mi</t>
  </si>
  <si>
    <t>Logo Eu (Ao Vivo)</t>
  </si>
  <si>
    <t>https://youtube.com/watch?v=-vaUnxXoKpw</t>
  </si>
  <si>
    <t>Tenta Peitar (feat. DU'L, DJ VICTOR &amp; MC Cebezinho)</t>
  </si>
  <si>
    <t>https://youtube.com/watch?v=_m2IM_xMSeg</t>
  </si>
  <si>
    <t>https://youtube.com/watch?v=m4Lj3f5p9uU</t>
  </si>
  <si>
    <t>https://youtube.com/watch?v=Jp9lEv4DAOk</t>
  </si>
  <si>
    <t>https://youtube.com/watch?v=imPS7DMbx0Q</t>
  </si>
  <si>
    <t>Champagne (feat. Kizzy &amp; Mainstreet)</t>
  </si>
  <si>
    <t>https://youtube.com/watch?v=6BgxLcofzoo</t>
  </si>
  <si>
    <t>https://youtube.com/watch?v=3JeHfhW9uWU</t>
  </si>
  <si>
    <t>1,7 mi</t>
  </si>
  <si>
    <t>https://youtube.com/watch?v=_ZMNiD9cal8</t>
  </si>
  <si>
    <t>1,6 mi</t>
  </si>
  <si>
    <t>Mama Eu</t>
  </si>
  <si>
    <t>Os Feras do Pizeiro, Mc J Mito</t>
  </si>
  <si>
    <t>https://youtube.com/watch?v=d6e4yKr-2Sc</t>
  </si>
  <si>
    <t>https://youtube.com/watch?v=2cnloO84LA0</t>
  </si>
  <si>
    <t>MONTAGEM BAILÃO (feat. Mc Jhey)</t>
  </si>
  <si>
    <t>https://youtube.com/watch?v=yHcHGyg-mY0</t>
  </si>
  <si>
    <t>https://youtube.com/watch?v=RMklSRQdm9Q</t>
  </si>
  <si>
    <t>1,5 mi</t>
  </si>
  <si>
    <t>https://youtube.com/watch?v=s6dIjPBECXw</t>
  </si>
  <si>
    <t>https://youtube.com/watch?v=ZaldivkxAtc</t>
  </si>
  <si>
    <t>Desliga E Vem / Eu Tenho Muito Mais (Ao Vivo) (feat. Dilsinho)</t>
  </si>
  <si>
    <t>https://youtube.com/watch?v=OE-4Dh8VH1U</t>
  </si>
  <si>
    <t>MENTE MÁ</t>
  </si>
  <si>
    <t>https://youtube.com/watch?v=u2ah9tWTkmk</t>
  </si>
  <si>
    <t>-10</t>
  </si>
  <si>
    <t>Body Splash (feat. Luan Pereira)</t>
  </si>
  <si>
    <t>Netto Brito</t>
  </si>
  <si>
    <t>https://youtube.com/watch?v=a1-sAtk1VeM</t>
  </si>
  <si>
    <t>Pra Não Pensar em Você (Ao Vivo)</t>
  </si>
  <si>
    <t>https://youtube.com/watch?v=JPITxZbf5H4</t>
  </si>
  <si>
    <t>https://youtube.com/watch?v=6NvkZY-va0E</t>
  </si>
  <si>
    <t>https://youtube.com/watch?v=MO37-1KgcI4</t>
  </si>
  <si>
    <t>1,4 mi</t>
  </si>
  <si>
    <t>https://youtube.com/watch?v=co-TFLbaZAE</t>
  </si>
  <si>
    <t>https://youtube.com/watch?v=G0KlH_FjQW8</t>
  </si>
  <si>
    <t>Toma Gostosona</t>
  </si>
  <si>
    <t>Mc Lele JP, DJ Guh Mix</t>
  </si>
  <si>
    <t>https://youtube.com/watch?v=qo9PoeRumAY</t>
  </si>
  <si>
    <t>MC Jacaré</t>
  </si>
  <si>
    <t>https://youtube.com/watch?v=zZUyiqR7rNM</t>
  </si>
  <si>
    <t>1,3 mi</t>
  </si>
  <si>
    <t>https://youtube.com/watch?v=0kiCQLdfgVg</t>
  </si>
  <si>
    <t>Reinado</t>
  </si>
  <si>
    <t>Jmilton, CHASHKAKEFIRA</t>
  </si>
  <si>
    <t>1,2 mi</t>
  </si>
  <si>
    <t>Sempre Foi Deus</t>
  </si>
  <si>
    <t>Raquel Olliver, Todah Music</t>
  </si>
  <si>
    <t>https://youtube.com/watch?v=NkPCdgsr9IM</t>
  </si>
  <si>
    <t>https://youtube.com/watch?v=Ps2z_3zDzhs</t>
  </si>
  <si>
    <t>https://youtube.com/watch?v=01I9321tRt4</t>
  </si>
  <si>
    <t>https://youtube.com/watch?v=R2-yomhYAj4</t>
  </si>
  <si>
    <t>https://charts.youtube.com/artist/%2Fm%2F0wtnl61</t>
  </si>
  <si>
    <t>https://charts.youtube.com/artist/%2Fg%2F11q95hdszw</t>
  </si>
  <si>
    <t>https://charts.youtube.com/artist/%2Fg%2F11jj0vhd28</t>
  </si>
  <si>
    <t>https://charts.youtube.com/artist/%2Fg%2F11ftvvl00l</t>
  </si>
  <si>
    <t>https://charts.youtube.com/artist/%2Fm%2F0j9m6s7</t>
  </si>
  <si>
    <t>https://charts.youtube.com/artist/%2Fg%2F11cnnwp26d</t>
  </si>
  <si>
    <t>https://charts.youtube.com/artist/%2Fg%2F11c0rsgn2w</t>
  </si>
  <si>
    <t>https://charts.youtube.com/artist/%2Fg%2F11c602sm4t</t>
  </si>
  <si>
    <t>https://charts.youtube.com/artist/%2Fm%2F0j9l44h</t>
  </si>
  <si>
    <t>MC IG</t>
  </si>
  <si>
    <t>https://charts.youtube.com/artist/%2Fg%2F11bt_mlg8v</t>
  </si>
  <si>
    <t>https://charts.youtube.com/artist/%2Fg%2F11fsj_hcf3</t>
  </si>
  <si>
    <t>https://charts.youtube.com/artist/%2Fg%2F1yglpxkk0</t>
  </si>
  <si>
    <t>https://charts.youtube.com/artist/%2Fm%2F0124x5pq</t>
  </si>
  <si>
    <t>https://charts.youtube.com/artist/%2Fg%2F11bv2ph0yr</t>
  </si>
  <si>
    <t>https://charts.youtube.com/artist/%2Fg%2F1yprv1xjp</t>
  </si>
  <si>
    <t>https://charts.youtube.com/artist/%2Fm%2F01m_j9x</t>
  </si>
  <si>
    <t>https://charts.youtube.com/artist/%2Fg%2F11r_g3hwp_</t>
  </si>
  <si>
    <t>https://charts.youtube.com/artist/%2Fm%2F0gh91m8</t>
  </si>
  <si>
    <t>https://charts.youtube.com/artist/%2Fg%2F11s0s0wth1</t>
  </si>
  <si>
    <t>https://charts.youtube.com/artist/%2Fm%2F01nfv5_</t>
  </si>
  <si>
    <t>https://charts.youtube.com/artist/%2Fg%2F1yw9kt3mq</t>
  </si>
  <si>
    <t>https://charts.youtube.com/artist/%2Fg%2F11bx44tp1w</t>
  </si>
  <si>
    <t>https://charts.youtube.com/artist/%2Fm%2F0ndsm00</t>
  </si>
  <si>
    <t>https://charts.youtube.com/artist/%2Fg%2F11bt_s3cdm</t>
  </si>
  <si>
    <t>https://charts.youtube.com/artist/%2Fg%2F11btz__j0s</t>
  </si>
  <si>
    <t>https://charts.youtube.com/artist/%2Fg%2F12lqjt13t</t>
  </si>
  <si>
    <t>https://charts.youtube.com/artist/%2Fg%2F11h9vqkc4h</t>
  </si>
  <si>
    <t>https://charts.youtube.com/artist/%2Fg%2F11bxhtz6sz</t>
  </si>
  <si>
    <t>https://charts.youtube.com/artist/%2Fg%2F11s3z_hmys</t>
  </si>
  <si>
    <t>https://charts.youtube.com/artist/%2Fg%2F11j4ftky31</t>
  </si>
  <si>
    <t>https://charts.youtube.com/artist/%2Fg%2F11r0nf8cgf</t>
  </si>
  <si>
    <t>https://charts.youtube.com/artist/%2Fm%2F01sz99q</t>
  </si>
  <si>
    <t>https://charts.youtube.com/artist/%2Fg%2F11fntcbp49</t>
  </si>
  <si>
    <t>MC Rodrigo do CN</t>
  </si>
  <si>
    <t>https://charts.youtube.com/artist/%2Fg%2F11fd3ynnm8</t>
  </si>
  <si>
    <t>https://charts.youtube.com/artist/%2Fg%2F11h5vd5h_c</t>
  </si>
  <si>
    <t>https://charts.youtube.com/artist/%2Fg%2F11bw4k95kk</t>
  </si>
  <si>
    <t>https://charts.youtube.com/artist/%2Fg%2F11jcn2j3bw</t>
  </si>
  <si>
    <t>https://charts.youtube.com/artist/%2Fg%2F11b7nx2x21</t>
  </si>
  <si>
    <t>https://charts.youtube.com/artist/%2Fg%2F11h4dklcgj</t>
  </si>
  <si>
    <t>https://charts.youtube.com/artist/%2Fg%2F11fltsbh_d</t>
  </si>
  <si>
    <t>https://charts.youtube.com/artist/%2Fm%2F0d_wwsb</t>
  </si>
  <si>
    <t>-9</t>
  </si>
  <si>
    <t>https://charts.youtube.com/artist/%2Fg%2F11g6q6yvrg</t>
  </si>
  <si>
    <t>https://charts.youtube.com/artist/%2Fg%2F11bt_7r7wh</t>
  </si>
  <si>
    <t>MC Don Juan</t>
  </si>
  <si>
    <t>https://charts.youtube.com/artist/%2Fg%2F11g9l_xksy</t>
  </si>
  <si>
    <t>https://charts.youtube.com/artist/%2Fg%2F11l295tx7l</t>
  </si>
  <si>
    <t>https://charts.youtube.com/artist/%2Fg%2F11fhvkggdq</t>
  </si>
  <si>
    <t>Amado Batista</t>
  </si>
  <si>
    <t>https://charts.youtube.com/artist/%2Fm%2F01nw8t2</t>
  </si>
  <si>
    <t>MC GW</t>
  </si>
  <si>
    <t>https://charts.youtube.com/artist/%2Fg%2F11bt_1dfcd</t>
  </si>
  <si>
    <t>Ludmilla</t>
  </si>
  <si>
    <t>https://charts.youtube.com/artist/%2Fm%2F010wj70v</t>
  </si>
  <si>
    <t>MC Lele JP</t>
  </si>
  <si>
    <t>https://charts.youtube.com/artist/%2Fg%2F11bt_92gy0</t>
  </si>
  <si>
    <t>MC MENO K</t>
  </si>
  <si>
    <t>https://charts.youtube.com/artist/%2Fg%2F11m9pm3n36</t>
  </si>
  <si>
    <t>https://charts.youtube.com/artist/%2Fg%2F11ft8_zm2v</t>
  </si>
  <si>
    <t>https://charts.youtube.com/artist/%2Fg%2F11bw50pkh_</t>
  </si>
  <si>
    <t>https://charts.youtube.com/artist/%2Fg%2F122g3z6r</t>
  </si>
  <si>
    <t>https://charts.youtube.com/artist/%2Fm%2F01mjy8w</t>
  </si>
  <si>
    <t>https://charts.youtube.com/artist/%2Fg%2F11c2plqp8s</t>
  </si>
  <si>
    <t>https://charts.youtube.com/artist/%2Fg%2F11bvt74b8z</t>
  </si>
  <si>
    <t>https://charts.youtube.com/artist/%2Fg%2F11j0v0yt4b</t>
  </si>
  <si>
    <t>https://charts.youtube.com/artist/%2Fg%2F11hgcj3l3n</t>
  </si>
  <si>
    <t>https://charts.youtube.com/artist/%2Fg%2F11f4v4x7mq</t>
  </si>
  <si>
    <t>Dj Oreia</t>
  </si>
  <si>
    <t>https://charts.youtube.com/artist/%2Fg%2F11wj61rsj1</t>
  </si>
  <si>
    <t>https://charts.youtube.com/artist/%2Fm%2F01l27jk</t>
  </si>
  <si>
    <t>-12</t>
  </si>
  <si>
    <t>https://charts.youtube.com/artist/%2Fg%2F11rn4r0c3j</t>
  </si>
  <si>
    <t>https://charts.youtube.com/artist/%2Fg%2F11g0g_jr09</t>
  </si>
  <si>
    <t>https://charts.youtube.com/artist/%2Fg%2F11bw77p8g6</t>
  </si>
  <si>
    <t>https://charts.youtube.com/artist/%2Fg%2F11flgjrf43</t>
  </si>
  <si>
    <t>https://charts.youtube.com/artist/%2Fg%2F11b7_sn3mg</t>
  </si>
  <si>
    <t>https://charts.youtube.com/artist/%2Fg%2F11h00246w6</t>
  </si>
  <si>
    <t>https://charts.youtube.com/artist/%2Fg%2F11w85dqmhq</t>
  </si>
  <si>
    <t>https://charts.youtube.com/artist/%2Fg%2F11h9bj2gfp</t>
  </si>
  <si>
    <t>https://charts.youtube.com/artist/%2Fg%2F11f7j3kh4y</t>
  </si>
  <si>
    <t>https://charts.youtube.com/artist/%2Fg%2F11tjyrv_jm</t>
  </si>
  <si>
    <t>https://charts.youtube.com/artist/%2Fg%2F11t40cfr41</t>
  </si>
  <si>
    <t>https://charts.youtube.com/artist/%2Fg%2F11c610q71y</t>
  </si>
  <si>
    <t>https://charts.youtube.com/artist/%2Fg%2F11f7m0dwpm</t>
  </si>
  <si>
    <t>https://charts.youtube.com/artist/%2Fg%2F11b7_vyjtm</t>
  </si>
  <si>
    <t>https://charts.youtube.com/artist/%2Fg%2F11vkjwkff0</t>
  </si>
  <si>
    <t>https://charts.youtube.com/artist/%2Fg%2F11fkw8t4bd</t>
  </si>
  <si>
    <t>https://charts.youtube.com/artist/%2Fg%2F11g1_jr1sw</t>
  </si>
  <si>
    <t>https://charts.youtube.com/artist/%2Fg%2F11px9fk5mk</t>
  </si>
  <si>
    <t>https://charts.youtube.com/artist/%2Fg%2F11fzwb2n84</t>
  </si>
  <si>
    <t>https://charts.youtube.com/artist/%2Fg%2F11gmvw16_d</t>
  </si>
  <si>
    <t>https://charts.youtube.com/artist/%2Fm%2F0dm8d21</t>
  </si>
  <si>
    <t>https://charts.youtube.com/artist/%2Fg%2F11h0817n6h</t>
  </si>
  <si>
    <t>https://charts.youtube.com/artist/%2Fg%2F11yd_1ykrm</t>
  </si>
  <si>
    <t>https://charts.youtube.com/artist/%2Fg%2F11frrxnv22</t>
  </si>
  <si>
    <t>https://charts.youtube.com/artist/%2Fm%2F01m3yx0</t>
  </si>
  <si>
    <t>https://charts.youtube.com/artist/%2Fm%2F01n1rxb</t>
  </si>
  <si>
    <t>https://charts.youtube.com/artist/%2Fg%2F11s623q3gd</t>
  </si>
  <si>
    <t>https://charts.youtube.com/artist/%2Fg%2F11b6_sq0s2</t>
  </si>
  <si>
    <t>https://charts.youtube.com/artist/%2Fg%2F11c0rlk9b9</t>
  </si>
  <si>
    <t>https://charts.youtube.com/artist/%2Fg%2F11w312sdrj</t>
  </si>
  <si>
    <t>https://charts.youtube.com/artist/%2Fm%2F01mxmfg</t>
  </si>
  <si>
    <t>https://charts.youtube.com/artist/%2Fg%2F11f62nq_3z</t>
  </si>
  <si>
    <t>Canal do Pericão</t>
  </si>
  <si>
    <t>https://charts.youtube.com/artist/%2Fm%2F0pc7xp0</t>
  </si>
  <si>
    <t>Visualizações</t>
  </si>
  <si>
    <t>spotify:track:2V6SUJCtrva6qToZjphMwO</t>
  </si>
  <si>
    <t>Humilde</t>
  </si>
  <si>
    <t>spotify:track:5Es0BIBKcoNlgcVYuFnzP4</t>
  </si>
  <si>
    <t>Acertada</t>
  </si>
  <si>
    <t>spotify:track:3BUks2eZbOvjlLwMGf3rtl</t>
  </si>
  <si>
    <t>DJ Petroski, Mc Th, DJ FRACARI, FARIAS</t>
  </si>
  <si>
    <t>Mega Catuca Elas No Clima</t>
  </si>
  <si>
    <t>DJ Petroski</t>
  </si>
  <si>
    <t>spotify:artist:33NrinbbEctw1wsdKNgZeZ</t>
  </si>
  <si>
    <t>Rionegro &amp; Solimões</t>
  </si>
  <si>
    <t>spotify:artist:2h73KyGixa4A1xlhcxjpG1</t>
  </si>
  <si>
    <t>Fiduma &amp; Jeca</t>
  </si>
  <si>
    <t>spotify:track:0cYohCh24y1aMjJmcS9RBl</t>
  </si>
  <si>
    <t>For A Reason</t>
  </si>
  <si>
    <t>spotify:artist:2ae6PxICSOZHvjqiCcgon8</t>
  </si>
  <si>
    <t>S. P. Balasubrahmanyam</t>
  </si>
  <si>
    <t>spotify:artist:5K8Rmjmf4RZFffz94EmBRt</t>
  </si>
  <si>
    <t>50</t>
  </si>
  <si>
    <t>78</t>
  </si>
  <si>
    <t>83</t>
  </si>
  <si>
    <t>https://www.youtube.com/watch?v=tSKMmYjzsck</t>
  </si>
  <si>
    <t>Medley Muído de Vaquejada</t>
  </si>
  <si>
    <t>Tears</t>
  </si>
  <si>
    <t>https://deezer.com/track/3240320441</t>
  </si>
  <si>
    <t>https://deezer.com/track/3423165001</t>
  </si>
  <si>
    <t>https://music.apple.com/us/album/null/1819861154?i=1819861157</t>
  </si>
  <si>
    <t>https://music.apple.com/us/album/null/1819861154?i=1819861159</t>
  </si>
  <si>
    <t>My Man on Willpower</t>
  </si>
  <si>
    <t>https://music.apple.com/us/album/null/1819861154?i=1819861160</t>
  </si>
  <si>
    <t>Sugar Talking</t>
  </si>
  <si>
    <t>https://music.apple.com/us/album/null/1819861154?i=1819861161</t>
  </si>
  <si>
    <t>We Almost Broke Up Again Last Night</t>
  </si>
  <si>
    <t>https://music.apple.com/us/album/null/1819861154?i=1819861163</t>
  </si>
  <si>
    <t>Nobody’s Son</t>
  </si>
  <si>
    <t>https://music.apple.com/us/album/null/1819861154?i=1819861167</t>
  </si>
  <si>
    <t>When Did You Get Hot?</t>
  </si>
  <si>
    <t>https://music.apple.com/us/album/null/1819861154?i=1819861168</t>
  </si>
  <si>
    <t>Go Go Juice</t>
  </si>
  <si>
    <t>https://music.apple.com/us/album/null/1819861154?i=1819861164</t>
  </si>
  <si>
    <t>Never Getting Laid</t>
  </si>
  <si>
    <t>https://music.apple.com/us/album/null/1819861154?i=1819861170</t>
  </si>
  <si>
    <t>House Tour</t>
  </si>
  <si>
    <t>https://music.apple.com/us/album/null/1819861154?i=1819861169</t>
  </si>
  <si>
    <t>Don’t Worry I’ll Make You Worry</t>
  </si>
  <si>
    <t>https://music.apple.com/us/album/null/1819861154?i=1819861171</t>
  </si>
  <si>
    <t>Goodbye</t>
  </si>
  <si>
    <t>spotify:album:7mvXPtV4jvA1hp5Wx2FAJA</t>
  </si>
  <si>
    <t>I Barely Know Her</t>
  </si>
  <si>
    <t>spotify:album:3wqskwruUGJHC4yHbo7nxc</t>
  </si>
  <si>
    <t>KARMA</t>
  </si>
  <si>
    <t>spotify:album:5rMOCuiWWbEBcHaKM69Hmv</t>
  </si>
  <si>
    <t>A Matter of Time</t>
  </si>
  <si>
    <t>spotify:album:1gmWnG5TeRj91Tdm2lpEvJ</t>
  </si>
  <si>
    <t>private music</t>
  </si>
  <si>
    <t>spotify:album:56ojNOZ9rz0PnhSaHHTL7y</t>
  </si>
  <si>
    <t>P-POP CULTURE</t>
  </si>
  <si>
    <t>spotify:album:4llPc4sijqW69zcet6TAEC</t>
  </si>
  <si>
    <t>I Hope You're Happy</t>
  </si>
  <si>
    <t>spotify:album:1aqg30bNvLSWgShZgX4oop</t>
  </si>
  <si>
    <t>Man’s Best Friend</t>
  </si>
  <si>
    <t>spotify:album:2hHTG0xjC0wzHO8CJozddr</t>
  </si>
  <si>
    <t>Offset</t>
  </si>
  <si>
    <t>KIARI</t>
  </si>
  <si>
    <t>Motown Records</t>
  </si>
  <si>
    <t>Loud</t>
  </si>
  <si>
    <t>spotify:album:1hmlhl74JfLyUqmqtCwvFb</t>
  </si>
  <si>
    <t>Bewitched: The Goddess Edition</t>
  </si>
  <si>
    <t>spotify:album:0bUTHlWbkSQysoM3VsWldT</t>
  </si>
  <si>
    <t>Demon Days</t>
  </si>
  <si>
    <t>spotify:album:32iAEBstCjauDhyKpGjTuq</t>
  </si>
  <si>
    <t>=</t>
  </si>
  <si>
    <t>spotify:album:5J4SS8wTmXdyIEVYjmHzpZ</t>
  </si>
  <si>
    <t>Nine Track Mind (Special Edition)</t>
  </si>
  <si>
    <t>spotify:track:3YLOdKCl9ZMTvzGdUmfk2m</t>
  </si>
  <si>
    <t>Seresta do Rasta, Raneychas</t>
  </si>
  <si>
    <t>Melhor Amigo</t>
  </si>
  <si>
    <t>DiOliveira Produções</t>
  </si>
  <si>
    <t>spotify:track:0oRZZ5i9R0VDENXfGueEj1</t>
  </si>
  <si>
    <t>Forró Boys</t>
  </si>
  <si>
    <t>Nenem do Pai</t>
  </si>
  <si>
    <t>WDisk</t>
  </si>
  <si>
    <t>spotify:album:70DhR2x81VSMyyNg91gUB4</t>
  </si>
  <si>
    <t>Mais de Mim</t>
  </si>
  <si>
    <t>spotify:album:5NEKhgyL8iv2HoXI0xqBk1</t>
  </si>
  <si>
    <t>Eh Noiz Ki Tá</t>
  </si>
  <si>
    <t>spotify:album:4Vg8dStAaHhiE25pIIWHIv</t>
  </si>
  <si>
    <t>RESENHA NATORA (Ao Vivo)</t>
  </si>
  <si>
    <t>A Maior Honra (Ao Vivo)</t>
  </si>
  <si>
    <t>spotify:album:1eLF8DMP6DQrGcJXqqIlAa</t>
  </si>
  <si>
    <t>Boiadeira Internacional (Ao Vivo)</t>
  </si>
  <si>
    <t>spotify:album:53SMVjpWCrKUFbjowChIKb</t>
  </si>
  <si>
    <t>Ao Vivo no Buzu</t>
  </si>
  <si>
    <t>spotify:track:6zxthXT7GUBX83vRmQiN3x</t>
  </si>
  <si>
    <t>spotify:track:42VUCXerQ5qTr4Qp6PhKo4</t>
  </si>
  <si>
    <t>spotify:track:2BwO5K8Q7EPAJSGze3AAh9</t>
  </si>
  <si>
    <t>spotify:track:3EMfeKtNK4q4k3sVjwg5Yy</t>
  </si>
  <si>
    <t>spotify:track:5B3GZOZYXNzWpUXQC42hxZ</t>
  </si>
  <si>
    <t>spotify:track:1butVubqmo2gXoAgZiM7hY</t>
  </si>
  <si>
    <t>spotify:track:6wkYQMrFfb0huLB5Qn19Iv</t>
  </si>
  <si>
    <t>spotify:track:4SRShYMtFIGgnOU7iBicMH</t>
  </si>
  <si>
    <t>spotify:track:0je57Uq5eTk1wrPzn9sWbl</t>
  </si>
  <si>
    <t>spotify:track:1qyw5wSUkEvH8DtaCdx7Lg</t>
  </si>
  <si>
    <t>spotify:track:1PdUyYYw9sGU0yhLrpeHKt</t>
  </si>
  <si>
    <t>spotify:track:21IVPfi81m6ywNgOvqTj1i</t>
  </si>
  <si>
    <t>spotify:track:25jgQBxuUkGDdCG1WGKKN9</t>
  </si>
  <si>
    <t>spotify:track:4tVVmShMF2PYdLqcejrsy2</t>
  </si>
  <si>
    <t>spotify:track:4GUtj93QgJPOg44yWBgVhF</t>
  </si>
  <si>
    <t>Marcos &amp; Belutti</t>
  </si>
  <si>
    <t>Sonho de Todo Casal - Ao Vivo</t>
  </si>
  <si>
    <t>spotify:artist:0FMBXfGasuAjdpsCs7zgju</t>
  </si>
  <si>
    <t>spotify:track:2AWY8422GKdGpGw6ejB1Ys</t>
  </si>
  <si>
    <t>spotify:track:7nrd0eIftH3NQLfgk20Qp9</t>
  </si>
  <si>
    <t>Blessd, Anuel AA, Yan Block, Luar La L, Kris R., ROA</t>
  </si>
  <si>
    <t>YOGURCITO REMIX (feat. Kris R., ROA)</t>
  </si>
  <si>
    <t>Duvido</t>
  </si>
  <si>
    <t>deixa eu - ao vivo</t>
  </si>
  <si>
    <t>https://charts.youtube.com/artist/%2Fg%2F11g1xk5w4g</t>
  </si>
  <si>
    <t>https://charts.youtube.com/artist/%2Fg%2F11w2grjhfx</t>
  </si>
  <si>
    <t>https://charts.youtube.com/artist/%2Fg%2F11f2grmy58</t>
  </si>
  <si>
    <t>https://youtube.com/watch?v=QBAO1uNcfMk</t>
  </si>
  <si>
    <t>5,8 mi</t>
  </si>
  <si>
    <t>https://youtube.com/watch?v=iYjz1Ap1VvU</t>
  </si>
  <si>
    <t>5 mi</t>
  </si>
  <si>
    <t>https://youtube.com/watch?v=6-uHbxfkNgA</t>
  </si>
  <si>
    <t>3,5 mi</t>
  </si>
  <si>
    <t>VOID</t>
  </si>
  <si>
    <t>https://youtube.com/watch?v=sC2b43vxJbQ</t>
  </si>
  <si>
    <t>https://youtube.com/watch?v=o4i_GbP5B2o</t>
  </si>
  <si>
    <t>https://youtube.com/watch?v=Sck0ayLyzD8</t>
  </si>
  <si>
    <t>https://youtube.com/watch?v=N31mWYiB3gU</t>
  </si>
  <si>
    <t>https://youtube.com/watch?v=h_aRZwzjYxs</t>
  </si>
  <si>
    <t>https://youtube.com/watch?v=VnPB-H7Zo7Y</t>
  </si>
  <si>
    <t>https://youtube.com/watch?v=cXDOHqa_QgY</t>
  </si>
  <si>
    <t>https://youtube.com/watch?v=mL192fY4Iqw</t>
  </si>
  <si>
    <t>https://youtube.com/watch?v=tSKMmYjzsck</t>
  </si>
  <si>
    <t>Medley Muído de Vaquejada (feat. MC Lekão)</t>
  </si>
  <si>
    <t>https://youtube.com/watch?v=Ve_a9CXjlQc</t>
  </si>
  <si>
    <t>https://youtube.com/watch?v=V7WnvoFbcHI</t>
  </si>
  <si>
    <t>NO ERA AMOR (Super Slowed)</t>
  </si>
  <si>
    <t>spotify:track:1w0jlaRYKzDjfLTqMYZvWH</t>
  </si>
  <si>
    <t>Kaique e Felipe, Clayton &amp; Romário</t>
  </si>
  <si>
    <t>Cachaçada - Ao Vivo</t>
  </si>
  <si>
    <t>spotify:track:2edxm0kdL7puUTm3ZCzRAy</t>
  </si>
  <si>
    <t>Os Corações Não São Iguais - Ao Vivo</t>
  </si>
  <si>
    <t>Diego, Victor Hugo</t>
  </si>
  <si>
    <t>Xand Avião, Talita Mel</t>
  </si>
  <si>
    <t>Henrique, Juliano</t>
  </si>
  <si>
    <t>Mudando de Assunto (Ao Vivo)</t>
  </si>
  <si>
    <t>Void Cauan</t>
  </si>
  <si>
    <t>Felipe Amorim, BIN, Malibu</t>
  </si>
  <si>
    <t>MC IG, MC Ryan SP, Mc Negão Original, DJ Japa NK</t>
  </si>
  <si>
    <t>Rafa e Junior, Hugo, Guilherme, DJ Ari SL</t>
  </si>
  <si>
    <t>Maiara, Maraisa</t>
  </si>
  <si>
    <t>DJ Gouveia, DJ Dozabri, MC Rodrigo do CN</t>
  </si>
  <si>
    <t>THE BOX, Oruam, Real Fuba, Didi, Luanzin, Neo Beats, Victor WAO</t>
  </si>
  <si>
    <t>Mc Kadu, Veiga no Beat</t>
  </si>
  <si>
    <t>MC IG, MC Lele JP, MC Neguinho PRT, Oldilla</t>
  </si>
  <si>
    <t>Oruam, MC Poze do Rodo, Real Fuba, ELOW, MUC4</t>
  </si>
  <si>
    <t>Orochi, PL Quest, BIN</t>
  </si>
  <si>
    <t>Mc Negão Original,  Mc Magrinho, DJ Guh Mix</t>
  </si>
  <si>
    <t>Jorge, Mateus</t>
  </si>
  <si>
    <t>Felipe Amorim, Xand Avião, Zé Vaqueiro, Talita Mel</t>
  </si>
  <si>
    <t>Mc Morena, cjnobeat, MC GW</t>
  </si>
  <si>
    <t>Zé Vaqueiro, Wesley Safadão, Nattan</t>
  </si>
  <si>
    <t>Get Worship, Melk Villar, Vinicius Cruz</t>
  </si>
  <si>
    <t>MC Jacaré, Mc Negão Original, DJ TK</t>
  </si>
  <si>
    <t>https://www.youtube.com/watch?v=FyL9s4epHBk</t>
  </si>
  <si>
    <t>CountryBeat, Rionegro e Solimões</t>
  </si>
  <si>
    <t>Apaixona Muita Gente (Ao vivo)</t>
  </si>
  <si>
    <t>DMG - Digital Music Group</t>
  </si>
  <si>
    <t>49</t>
  </si>
  <si>
    <t>spotify:track:0FU8RrGKFoWsel6fdEa82k</t>
  </si>
  <si>
    <t>Cabelos Brancos</t>
  </si>
  <si>
    <t>spotify:track:0sgR29AmLp8CJ7EYKXnUlr</t>
  </si>
  <si>
    <t>PROJECT ASTRA, Larillba, Lua Del Chiaro, Yuta Peach</t>
  </si>
  <si>
    <t>Brilho: Golden (Guerreiras do Kpop)</t>
  </si>
  <si>
    <t>Project Astra</t>
  </si>
  <si>
    <t>spotify:track:0AXNPIt9BOtvyYXeeNX7YQ</t>
  </si>
  <si>
    <t>sickoboyy</t>
  </si>
  <si>
    <t>Sexta-Feira Hoje Tem 2 / Casa no Interior / Só Menina Linda 2</t>
  </si>
  <si>
    <t>10177335 Records DK</t>
  </si>
  <si>
    <t>spotify:track:6UveejVb6aioPKeamhz1nE</t>
  </si>
  <si>
    <t>DJ Biel do Furduncinho, Biurifol, Mc Mylla, DJ Emige, Mais Alto</t>
  </si>
  <si>
    <t>Equipe Caos</t>
  </si>
  <si>
    <t>R2 Music</t>
  </si>
  <si>
    <t>spotify:track:7K9SL09rkjRVbORQULf2Qq</t>
  </si>
  <si>
    <t>No Meu Club</t>
  </si>
  <si>
    <t>spotify:track:5bJxFYztEjgWrIN7w3zhcF</t>
  </si>
  <si>
    <t>spotify:track:2i5X5dlT9J3VB2Ux3bKnAP</t>
  </si>
  <si>
    <t>Mano Lima</t>
  </si>
  <si>
    <t>Espantando Bagual</t>
  </si>
  <si>
    <t>2000 ACIT</t>
  </si>
  <si>
    <t>spotify:track:1fDFHXcykq4iw8Gg7s5hG9</t>
  </si>
  <si>
    <t>The 1975</t>
  </si>
  <si>
    <t>About You</t>
  </si>
  <si>
    <t>Dirty Hit</t>
  </si>
  <si>
    <t>spotify:track:10nyNJ6zNy2YVYLrcwLccB</t>
  </si>
  <si>
    <t>No Surprises</t>
  </si>
  <si>
    <t>spotify:artist:7cYEt1pqMgXJdq00hAwVpT</t>
  </si>
  <si>
    <t>Chase Atlantic</t>
  </si>
  <si>
    <t>spotify:track:2BFY6af0xKPlLpjAzkfZni</t>
  </si>
  <si>
    <t>BALCAZAR</t>
  </si>
  <si>
    <t>spotify:track:1MJyiTlVdSLAjI9aclZ3hL</t>
  </si>
  <si>
    <t>BIBI</t>
  </si>
  <si>
    <t>Scott and Zelda</t>
  </si>
  <si>
    <t>FeelGhoodMusic</t>
  </si>
  <si>
    <t>spotify:track:1gpcYCQC5YTPkT840nr83D</t>
  </si>
  <si>
    <t>Jazzworx, Thukuthela, Babalwa M, Dlala Thukzin</t>
  </si>
  <si>
    <t>uValo (feat. Dlala Thukzin)</t>
  </si>
  <si>
    <t>Jazzworx &amp; Thukuthela / EMPIRE</t>
  </si>
  <si>
    <t>https://www.youtube.com/watch?v=3nYntR_BmD0</t>
  </si>
  <si>
    <t>https://www.youtube.com/watch?v=_zKnEm9xPWw</t>
  </si>
  <si>
    <t>PEDRO SAMPAIO, MC GW, Mc Jhey, MC Rodrigo do CN</t>
  </si>
  <si>
    <t>SEQUÊNCIA FEITICEIRA</t>
  </si>
  <si>
    <t>40</t>
  </si>
  <si>
    <t>75</t>
  </si>
  <si>
    <t>Track Name</t>
  </si>
  <si>
    <t>https://www.youtube.com/watch?v=fDba_8YAiAw</t>
  </si>
  <si>
    <t>RITMADA PODEROSA</t>
  </si>
  <si>
    <t>https://www.youtube.com/watch?v=nmnjL26OBcY</t>
  </si>
  <si>
    <t>https://www.youtube.com/watch?v=diuih3FxH7Q</t>
  </si>
  <si>
    <t>https://www.youtube.com/watch?v=1jzSMR1mVNM</t>
  </si>
  <si>
    <t>https://www.youtube.com/watch?v=LtdywzLOyeM</t>
  </si>
  <si>
    <t>LABUBU REGGAETON</t>
  </si>
  <si>
    <t>https://www.youtube.com/watch?v=d6e4yKr-2Sc</t>
  </si>
  <si>
    <t>https://www.youtube.com/watch?v=Awr8qRZmaHE</t>
  </si>
  <si>
    <t>Fofoqueira Talarica</t>
  </si>
  <si>
    <t>https://www.youtube.com/watch?v=983bBbJx0Mk</t>
  </si>
  <si>
    <t>https://www.youtube.com/watch?v=1Glj9xx8HUA</t>
  </si>
  <si>
    <t>https://www.youtube.com/watch?v=yebNIHKAC4A</t>
  </si>
  <si>
    <t>https://www.youtube.com/watch?v=QBAO1uNcfMk</t>
  </si>
  <si>
    <t>https://www.youtube.com/watch?v=JtCPpGi0Dok</t>
  </si>
  <si>
    <t>Kysha e Mine</t>
  </si>
  <si>
    <t>Kysha vs Mine</t>
  </si>
  <si>
    <t>https://www.youtube.com/watch?v=cXDOHqa_QgY</t>
  </si>
  <si>
    <t>https://www.youtube.com/watch?v=T11cZfxokgQ</t>
  </si>
  <si>
    <t>Trava na Beleza Pose de Maloqueira</t>
  </si>
  <si>
    <t>https://www.youtube.com/watch?v=Sfv6OmOB1W4</t>
  </si>
  <si>
    <t>https://www.youtube.com/watch?v=YQkeI3BQdP0</t>
  </si>
  <si>
    <t>https://www.youtube.com/watch?v=O8HcubSr9PA</t>
  </si>
  <si>
    <t>https://www.youtube.com/watch?v=sC2b43vxJbQ</t>
  </si>
  <si>
    <t>https://www.youtube.com/watch?v=V7WnvoFbcHI</t>
  </si>
  <si>
    <t>https://www.youtube.com/watch?v=5-I1lT6Jbdo</t>
  </si>
  <si>
    <t>Yaelokre</t>
  </si>
  <si>
    <t>Harpy Hare</t>
  </si>
  <si>
    <t>https://www.youtube.com/watch?v=YiYwovZ9IT8</t>
  </si>
  <si>
    <t>sma$her</t>
  </si>
  <si>
    <t>ESTA NOCHE</t>
  </si>
  <si>
    <t>https://www.youtube.com/watch?v=tk4bJZT3lNk</t>
  </si>
  <si>
    <t>KXZINVK</t>
  </si>
  <si>
    <t>FUNK DO SURPRISE</t>
  </si>
  <si>
    <t>https://www.youtube.com/watch?v=Ut7pGiYTeH8</t>
  </si>
  <si>
    <t>FlippyLaRata MUSIC</t>
  </si>
  <si>
    <t>TUNG SAHUR – BZRT Session (Todos Quieren Tung!)</t>
  </si>
  <si>
    <t>https://www.youtube.com/watch?v=qWD8oWwYxzk</t>
  </si>
  <si>
    <t>Gandon Pizdin Funk</t>
  </si>
  <si>
    <t>https://www.youtube.com/watch?v=jVe8pjcz43M</t>
  </si>
  <si>
    <t>MUSSA</t>
  </si>
  <si>
    <t>Robô Hip-Hop</t>
  </si>
  <si>
    <t>https://www.youtube.com/watch?v=IxfvjGJlrC4</t>
  </si>
  <si>
    <t>Lei do Retorno</t>
  </si>
  <si>
    <t>https://www.youtube.com/watch?v=3RUxxeKtWyM</t>
  </si>
  <si>
    <t>GROW A GARDEN FUNK</t>
  </si>
  <si>
    <t>https://www.youtube.com/watch?v=8tsv3Y24P9w</t>
  </si>
  <si>
    <t>https://www.youtube.com/watch?v=DaNB3h0rin4</t>
  </si>
  <si>
    <t>Tom Filho</t>
  </si>
  <si>
    <t>Pressentimento</t>
  </si>
  <si>
    <t>https://www.youtube.com/watch?v=ElCwgGQmmLQ</t>
  </si>
  <si>
    <t>Prometeu Tudo Entregou Nada</t>
  </si>
  <si>
    <t>DJ KOALA6, DJ ROBOCOP MF, MC GW</t>
  </si>
  <si>
    <t>SXLLX, DJ BLVDE, DJ VIBER</t>
  </si>
  <si>
    <t>Os Feras do Pizeiro, mc j mito</t>
  </si>
  <si>
    <t>Emilly Vick, Void</t>
  </si>
  <si>
    <t>Agatha Tavares, dj ph calvin</t>
  </si>
  <si>
    <t>DJ Biel Divulga, DJ Dozabri, MC Lekão</t>
  </si>
  <si>
    <t>Dj Caio Vieira, MC MENO K, MC Rodrigo do CN</t>
  </si>
  <si>
    <t>Nakama, Mc Staff</t>
  </si>
  <si>
    <t>Miury Dj, Jaula das gostosudas</t>
  </si>
  <si>
    <t>KPHK, TWXNY, INNXCENCE</t>
  </si>
  <si>
    <t>MC Hariel, MC Don Juan</t>
  </si>
  <si>
    <t>SHX4, SXYGX, FYU</t>
  </si>
  <si>
    <t>Gordinho Bolado, Felipe Original</t>
  </si>
  <si>
    <t>Anderson Neiff, Mano Cheffe</t>
  </si>
  <si>
    <t>https://deezer.com/track/3511049601</t>
  </si>
  <si>
    <t>PEDRO SAMPAIO, Mc Gw, Mc Jhey, Mc Rodrigo do CN, MC Nito</t>
  </si>
  <si>
    <t>Sequência Feiticeira</t>
  </si>
  <si>
    <t>https://music.apple.com/us/album/null/1835134142?i=1835134639</t>
  </si>
  <si>
    <t>https://music.apple.com/us/album/null/1833592435?i=1833592436</t>
  </si>
  <si>
    <t>PEDRO SAMPAIO, Mc Gw, Mc Jhey, Mc Rodrigo do CN</t>
  </si>
  <si>
    <t>SEQUÊNCIA FEITICEIRA (feat. MC Nito)</t>
  </si>
  <si>
    <t>https://music.apple.com/us/album/null/1792666546?i=1792667009</t>
  </si>
  <si>
    <t>Garden Of Eden</t>
  </si>
  <si>
    <t>spotify:track:11Pyzl3LTwpM9yVIDdwK68</t>
  </si>
  <si>
    <t>Mc IG, MC Ryan SP, DJ Glenner, MC PH, DJ Hyago</t>
  </si>
  <si>
    <t>spotify:track:4Lwm0XFseZ09OBdmUJlcYp</t>
  </si>
  <si>
    <t>spotify:track:7uDUb37h7Xdhza1eWMkoJv</t>
  </si>
  <si>
    <t>Friends</t>
  </si>
  <si>
    <t>spotify:track:5PCOOngROV9jWsUViSy4Ed</t>
  </si>
  <si>
    <t>j-hope, GloRilla</t>
  </si>
  <si>
    <t>Killin' It Girl (feat. GloRilla)</t>
  </si>
  <si>
    <t>spotify:track:1dEfbx1cOjvPHl13hagEDV</t>
  </si>
  <si>
    <t>Dj Tchouzen, Ygor Bueno, DJAY VMC</t>
  </si>
  <si>
    <t>O BUENO É O CACIQUE x VAI TOMAR FLECHADA</t>
  </si>
  <si>
    <t>spotify:artist:0jzTaWBcJ6h5ccHe04CcyX</t>
  </si>
  <si>
    <t>spotify:artist:2nRKgPUikjmFOJ1UBmh8Fy</t>
  </si>
  <si>
    <t>Dj Tchouzen</t>
  </si>
  <si>
    <t>spotify:track:54LxG1GN2Kzy4yZusGjmTT</t>
  </si>
  <si>
    <t>Biurifol, Dj Lula</t>
  </si>
  <si>
    <t>Os Faixa Preta do Vô</t>
  </si>
  <si>
    <t>Terra Fértil Entretenimento</t>
  </si>
  <si>
    <t>spotify:track:2s0ouHqJebHfiQ6C1GUFJd</t>
  </si>
  <si>
    <t>Kelis</t>
  </si>
  <si>
    <t>Milkshake</t>
  </si>
  <si>
    <t>[PIAS] Recordings Catalogue</t>
  </si>
  <si>
    <t>spotify:track:6fxVffaTuwjgEk5h9QyRjy</t>
  </si>
  <si>
    <t>Photograph</t>
  </si>
  <si>
    <t>spotify:track:0l0vcZMU7AOeQmUIREoI2U</t>
  </si>
  <si>
    <t>Rauw Alejandro, Bad Bunny</t>
  </si>
  <si>
    <t>Qué Pasaría...</t>
  </si>
  <si>
    <t>spotify:track:5O2P9iiztwhomNh8xkR9lJ</t>
  </si>
  <si>
    <t>Night Changes</t>
  </si>
  <si>
    <t>spotify:track:2QP041AcWg8PwPIWP95RKN</t>
  </si>
  <si>
    <t>top diesel</t>
  </si>
  <si>
    <t>spotify:track:0eaVIYo2zeOaGJeqZ5TwYz</t>
  </si>
  <si>
    <t>No Pole</t>
  </si>
  <si>
    <t>Cactus Jack / Atlantic</t>
  </si>
  <si>
    <t>spotify:track:6lbhWl34Il0WXm5pX1fM9E</t>
  </si>
  <si>
    <t>T-Pain, B.o.B</t>
  </si>
  <si>
    <t>Up Down (Do This All Day) (feat. B.o.B)</t>
  </si>
  <si>
    <t>Nappy Boy/Konvict Muzik/RCA Records</t>
  </si>
  <si>
    <t>spotify:artist:163tK9Wjr9P9DmM0AVK7lm</t>
  </si>
  <si>
    <t>Lorde</t>
  </si>
  <si>
    <t>spotify:track:1dR9wy1C7PWn4HwEsgCRDv</t>
  </si>
  <si>
    <t>UZI, Aksan</t>
  </si>
  <si>
    <t>MA CHÉRIE</t>
  </si>
  <si>
    <t>EMI - Kent Elektronik Sanayi ve Ticaret A.S.</t>
  </si>
  <si>
    <t>spotify:track:3H2sEc2EOfjeptg8pPPTlx</t>
  </si>
  <si>
    <t>Umafikizolo</t>
  </si>
  <si>
    <t>Uyoncengwa Unyoko</t>
  </si>
  <si>
    <t>Insika Yethonga</t>
  </si>
  <si>
    <t>62</t>
  </si>
  <si>
    <t>58</t>
  </si>
  <si>
    <t>https://www.youtube.com/watch?v=aMmD2CxIuVY</t>
  </si>
  <si>
    <t>Um Maluco Cowboy (Ao Vivo)</t>
  </si>
  <si>
    <t>https://www.youtube.com/watch?v=cdrEO7pIQXk</t>
  </si>
  <si>
    <t>Felipe, Rodrigo</t>
  </si>
  <si>
    <t>Caos De Alguém (Ao Vivo)</t>
  </si>
  <si>
    <t>https://www.youtube.com/watch?v=vMLk_T0PPbk</t>
  </si>
  <si>
    <t>Black Eyed Peas, Shakira</t>
  </si>
  <si>
    <t>GIRL LIKE ME</t>
  </si>
  <si>
    <t>https://www.youtube.com/watch?v=E40DGYa2QQ8</t>
  </si>
  <si>
    <t>Digidudes</t>
  </si>
  <si>
    <t>Nyan Cat Theme</t>
  </si>
  <si>
    <t>Peak Rank</t>
  </si>
  <si>
    <t>spotify:artist:6u3oPV9fJJnIOKvKMoROmG</t>
  </si>
  <si>
    <t>spotify:track:4PgYfBBRIVwvIiCAVMcogx</t>
  </si>
  <si>
    <t>TOKIODK, Markin Avel</t>
  </si>
  <si>
    <t>KIM KARDASHIAN</t>
  </si>
  <si>
    <t>spotify:track:6r7b1UHvO3fBZe7wBXWTaZ</t>
  </si>
  <si>
    <t>Ian Asher, Phantogram</t>
  </si>
  <si>
    <t>Black Out Days (Stay Away)</t>
  </si>
  <si>
    <t>spotify:track:3ZffCQKLFLUvYM59XKLbVm</t>
  </si>
  <si>
    <t>Wake Me up When September Ends</t>
  </si>
  <si>
    <t>spotify:track:7MafS1aXSSk9J3uZuqT6Bv</t>
  </si>
  <si>
    <t>DJ Lc do Martins, MC Jhonny Oliver</t>
  </si>
  <si>
    <t>Enquanto os Otário Banca</t>
  </si>
  <si>
    <t>Way Produtora</t>
  </si>
  <si>
    <t>spotify:track:3BdG3O9MCiJEWTJDIevhXi</t>
  </si>
  <si>
    <t>Rock Danger, LEALL, MC Marlon PH, ANTCONSTANTINO, $amuka</t>
  </si>
  <si>
    <t>Yeezy Slide "REMIX"</t>
  </si>
  <si>
    <t>Rock Danger</t>
  </si>
  <si>
    <t>spotify:track:4rPl7ezxtoqshKnI1kk3dX</t>
  </si>
  <si>
    <t>Drum Show</t>
  </si>
  <si>
    <t>spotify:track:4e76Ss3ji7HQZ4qwcPNkNA</t>
  </si>
  <si>
    <t>MIENTRAS DUERMES</t>
  </si>
  <si>
    <t>spotify:artist:5vV3bFXnN6D6N3Nj4xRvaV</t>
  </si>
  <si>
    <t>spotify:track:3rAcN3CLeSrkhIZN8PHbwb</t>
  </si>
  <si>
    <t>CORTIS</t>
  </si>
  <si>
    <t>What You Want</t>
  </si>
  <si>
    <t>Republic Records – CORTIS</t>
  </si>
  <si>
    <t>spotify:track:5tCxCYuFA57AhVtHqxP7kr</t>
  </si>
  <si>
    <t>Mata, Skolim, Khaid</t>
  </si>
  <si>
    <t>KAMIKAZE</t>
  </si>
  <si>
    <t>Muzyka Sp. z o.o.</t>
  </si>
  <si>
    <t>spotify:track:4j5ZSTHkXQbV0c8EassD0N</t>
  </si>
  <si>
    <t>Germanini, Lyon la f, JhonAlex, Nacho G Flow</t>
  </si>
  <si>
    <t>Comando Estelar</t>
  </si>
  <si>
    <t>Stars Music Chile 2024</t>
  </si>
  <si>
    <t>spotify:track:3gjTErwpHM5PkRbWMhmNrV</t>
  </si>
  <si>
    <t>Josh Brar, Parampara Tandon, Kumaar, Bunty Bains, Salamat Ali Matoi, Agaazz, Jagdeep Warring</t>
  </si>
  <si>
    <t>Guzaara (From "Baaghi 4")</t>
  </si>
  <si>
    <t>spotify:track:47aX1tXPTBpAG8Y2iAYmiy</t>
  </si>
  <si>
    <t>Jere Klein, Katteyes, Mateo on the Beatz</t>
  </si>
  <si>
    <t>TODO KE VER</t>
  </si>
  <si>
    <t>2025 JERE KLEIN</t>
  </si>
  <si>
    <t>spotify:track:6AlxlCtYgf7yBGRZGzAjJ4</t>
  </si>
  <si>
    <t>Hande Yener, Seksendört</t>
  </si>
  <si>
    <t>Rüya</t>
  </si>
  <si>
    <t>Poll Production</t>
  </si>
  <si>
    <t>spotify:track:7rukkHI3EaHRbwbTEsCzM1</t>
  </si>
  <si>
    <t>Joey Bada$$</t>
  </si>
  <si>
    <t>DARK AURA</t>
  </si>
  <si>
    <t>spotify:track:1lbNgoJ5iMrMluCyhI4OQP</t>
  </si>
  <si>
    <t>Fred again.., Skepta, PlaqueBoyMax</t>
  </si>
  <si>
    <t>Victory Lap</t>
  </si>
  <si>
    <t>MC Bringel, Lukão Mec, Lado Sul</t>
  </si>
  <si>
    <t>Oh Mãe Compra o Ney Goods</t>
  </si>
  <si>
    <t>https://www.youtube.com/watch?v=N31mWYiB3gU</t>
  </si>
  <si>
    <t>52</t>
  </si>
  <si>
    <t>57</t>
  </si>
  <si>
    <t>56</t>
  </si>
  <si>
    <t>67</t>
  </si>
  <si>
    <t>53</t>
  </si>
  <si>
    <t>64</t>
  </si>
  <si>
    <t>70</t>
  </si>
  <si>
    <t>77</t>
  </si>
  <si>
    <t>68</t>
  </si>
  <si>
    <t>https://www.youtube.com/watch?v=CmfcoxhQXJg</t>
  </si>
  <si>
    <t>Telefone Fora de Área (Live)</t>
  </si>
  <si>
    <t>85</t>
  </si>
  <si>
    <t>76</t>
  </si>
  <si>
    <t>82</t>
  </si>
  <si>
    <t>The Dead Dance</t>
  </si>
  <si>
    <t>spotify:track:6JKkP9ABQzYZUFSKSVDKIc</t>
  </si>
  <si>
    <t>1Kilo, Baviera, Knust, Pablo Martins</t>
  </si>
  <si>
    <t>Deixe Me Ir (feat. Pablo Martins) - Acústico 1Kilo</t>
  </si>
  <si>
    <t>1Kilo Records</t>
  </si>
  <si>
    <t>spotify:track:7pzD7EudQxP4EhT5UeQjc7</t>
  </si>
  <si>
    <t>Felipe Amorim, Xand Avião, Zé Vaqueiro, Talita Mel, Mc Lekão</t>
  </si>
  <si>
    <t>Medley Muído de Vaquejada - Desce do Cavalo / Balada do Vaqueiro / Monta Logo Vai / Calma / Senta No Fazendeiro / Deixa Ela Montar Na Minha Garupa / Botadão Do GW</t>
  </si>
  <si>
    <t>spotify:track:77ktPgR21JTA59L1R7NQn9</t>
  </si>
  <si>
    <t>Tua Ex É uma Delícia</t>
  </si>
  <si>
    <t>Number One Produtora</t>
  </si>
  <si>
    <t>spotify:artist:7KVJCU4z5L4EUHILL8aMxR</t>
  </si>
  <si>
    <t>spotify:artist:34giN3qeTOdgDSJIdtIMdm</t>
  </si>
  <si>
    <t>Mc Jhey</t>
  </si>
  <si>
    <t>spotify:track:35dt2bP4CcBzepyufQbvYZ</t>
  </si>
  <si>
    <t>Shimza, AR/CO, Kasango</t>
  </si>
  <si>
    <t>Fire Fire</t>
  </si>
  <si>
    <t>Helix Records</t>
  </si>
  <si>
    <t>spotify:track:7wZQH168Uz7cZQbLyoid2U</t>
  </si>
  <si>
    <t>Eu Vou Orar - Ao Vivo</t>
  </si>
  <si>
    <t>spotify:track:1rkP1QTDKqKUNkBMqauUz7</t>
  </si>
  <si>
    <t>2ZDinizz, Camila Zasoul, HHR</t>
  </si>
  <si>
    <t>Te Encontrar na Lapa</t>
  </si>
  <si>
    <t>spotify:track:0InIeZW4P6VO7dUGRM4AKH</t>
  </si>
  <si>
    <t>Sienna</t>
  </si>
  <si>
    <t>spotify:artist:5INjqkS1o8h1imAzPqGZBb</t>
  </si>
  <si>
    <t>spotify:track:6r1lboTadi5swMquaAWDzh</t>
  </si>
  <si>
    <t>spotify:track:3ayM2UERJjqknotVSPgJ0S</t>
  </si>
  <si>
    <t>Fejo, Himna Hilari, Hinitha Hilary, Bibin Ashok, Vinayak Sasikumar</t>
  </si>
  <si>
    <t>Onam Mood (From "Sahasam")</t>
  </si>
  <si>
    <t>Saregama India Ltd</t>
  </si>
  <si>
    <t>spotify:track:1fDjHyaZnNCPo9QsuFdQVO</t>
  </si>
  <si>
    <t>ELENA ROSE, Justin Quiles</t>
  </si>
  <si>
    <t>COSITA LINDA</t>
  </si>
  <si>
    <t>https://deezer.com/track/3027689651</t>
  </si>
  <si>
    <t>https://www.youtube.com/watch?v=xGaZBfJOyAc</t>
  </si>
  <si>
    <t>https://www.youtube.com/watch?v=uhQAog_Lksg</t>
  </si>
  <si>
    <t>Voando Baixo (Ao Vivo)</t>
  </si>
  <si>
    <t>72</t>
  </si>
  <si>
    <t>AMOR BANDIDO</t>
  </si>
  <si>
    <t>https://www.youtube.com/watch?v=5mK1btUNZEI</t>
  </si>
  <si>
    <t>Mc Negão Original, MC Ryan SP, DJ Japa NK</t>
  </si>
  <si>
    <t>Louco No Pião</t>
  </si>
  <si>
    <t>https://www.youtube.com/watch?v=tQEMB0YjXqo</t>
  </si>
  <si>
    <t>DJ Dozabri, DJ Biel Divulga, Mc Lekão, Mc Lz</t>
  </si>
  <si>
    <t>Pega Essa Chapada</t>
  </si>
  <si>
    <t>spotify:track:5pobX21I8uZdHM8YOWItU7</t>
  </si>
  <si>
    <t>spotify:track:2Xcc5Rsawh7EkzUwdVFrnn</t>
  </si>
  <si>
    <t>Mudando De Assunto - Ao Vivo</t>
  </si>
  <si>
    <t>spotify:track:0Ao4OLBAduB4y8H80EKqTO</t>
  </si>
  <si>
    <t>spotify:track:5kuUOpHZlZjL8b7HXkxRsm</t>
  </si>
  <si>
    <t>Xamã, Bagua Records, Neo Beats, Matuê</t>
  </si>
  <si>
    <t>Luxúria</t>
  </si>
  <si>
    <t>Baguá Records</t>
  </si>
  <si>
    <t>spotify:track:0gaZCBbtjEyTLhJrjnPbt5</t>
  </si>
  <si>
    <t>Yago Oproprio, Rô Rosa, Skeeter Beats</t>
  </si>
  <si>
    <t>Imprevisto</t>
  </si>
  <si>
    <t>spotify:track:1W3ohWNGNobBwSrOuVSxel</t>
  </si>
  <si>
    <t>Na Hora Da Raiva - Ao Vivo</t>
  </si>
  <si>
    <t>spotify:track:06n87WQroP5WFD4aR45T8X</t>
  </si>
  <si>
    <t>Love Funk</t>
  </si>
  <si>
    <t>spotify:artist:27mVhYvJa7apj1zCoZ9TF2</t>
  </si>
  <si>
    <t>MC Neguinho do Kaxeta</t>
  </si>
  <si>
    <t>spotify:artist:6xrc4RXcso9uKlYWlIANPU</t>
  </si>
  <si>
    <t>spotify:track:4gtz0OTJdBWZReh77LgBJT</t>
  </si>
  <si>
    <t>heapper, DJ JUAN</t>
  </si>
  <si>
    <t>MONTAGEM VOZES TALENTINHO - Super Slowed</t>
  </si>
  <si>
    <t>0to8</t>
  </si>
  <si>
    <t>spotify:track:48prukdF0AI4Q7AMOzkxnQ</t>
  </si>
  <si>
    <t>Xamã, Flora Matos</t>
  </si>
  <si>
    <t>AEROMOÇA</t>
  </si>
  <si>
    <t>spotify:track:49mACJ1TtKpe5QKG80TwXx</t>
  </si>
  <si>
    <t>Ebony, AG Beatz</t>
  </si>
  <si>
    <t>KIA</t>
  </si>
  <si>
    <t>spotify:track:1XGmzt0PVuFgQYYnV2It7A</t>
  </si>
  <si>
    <t>Maroon 5, Wiz Khalifa</t>
  </si>
  <si>
    <t>Payphone</t>
  </si>
  <si>
    <t>spotify:track:6czM6UMQD9qE5GAUp68oud</t>
  </si>
  <si>
    <t>Justin Bieber, Chance the Rapper</t>
  </si>
  <si>
    <t>Confident</t>
  </si>
  <si>
    <t>spotify:track:5uCax9HTNlzGybIStD3vDh</t>
  </si>
  <si>
    <t>Say You Won't Let Go</t>
  </si>
  <si>
    <t>spotify:track:0fea68AdmYNygeTGI4RC18</t>
  </si>
  <si>
    <t>J Balvin, Bad Bunny</t>
  </si>
  <si>
    <t>LA CANCIÓN</t>
  </si>
  <si>
    <t>Universal Music Latino / Rimas</t>
  </si>
  <si>
    <t>spotify:artist:7j6DKwmjbxvpQO8h914uEz</t>
  </si>
  <si>
    <t>Ryan Castro</t>
  </si>
  <si>
    <t>spotify:artist:2tIP7SsRs7vjIcLrU85W8J</t>
  </si>
  <si>
    <t>spotify:artist:3wcj11K77LjEY1PkEazffa</t>
  </si>
  <si>
    <t>Burna Boy</t>
  </si>
  <si>
    <t>spotify:track:72aGCwuSwD5Qb3tHvXBoX3</t>
  </si>
  <si>
    <t>Easykid</t>
  </si>
  <si>
    <t>Shiny</t>
  </si>
  <si>
    <t>https://music.apple.com/us/album/null/1754031918?i=1754032081</t>
  </si>
  <si>
    <t>https://music.apple.com/us/album/null/1815515096?i=1815515099</t>
  </si>
  <si>
    <t>Matheus &amp; Kauan, Gusttavo Lima</t>
  </si>
  <si>
    <t>paraquedas</t>
  </si>
  <si>
    <t>spotify:track:4XHijJfABTtUCW3Bp6KFvr</t>
  </si>
  <si>
    <t>Tarot</t>
  </si>
  <si>
    <t>spotify:track:1dGr1c8CrMLDpV6mPbImSI</t>
  </si>
  <si>
    <t>spotify:track:0ug5NqcwcFR2xrfTkc7k8e</t>
  </si>
  <si>
    <t>Style</t>
  </si>
  <si>
    <t>spotify:track:0L6sqAlPnAWiOQWjb2Ia5H</t>
  </si>
  <si>
    <t>spotify:album:0ulBRtM6uEMBKFbq1NI9mr</t>
  </si>
  <si>
    <t>SIX.</t>
  </si>
  <si>
    <t>spotify:album:5i9J2KiPe5VSB8ajAiWjOI</t>
  </si>
  <si>
    <t>Na máxima IN Vaquejada</t>
  </si>
  <si>
    <t>Toque dez</t>
  </si>
  <si>
    <t>spotify:album:02U19KFr1JisFjQWYLhk7B</t>
  </si>
  <si>
    <t>Ao Vivo em Brasília, Vol. 1</t>
  </si>
  <si>
    <t>spotify:album:0ZwJrkZydSKfyzVpushbf2</t>
  </si>
  <si>
    <t>Vocês estão prontos? (02-07)</t>
  </si>
  <si>
    <t>spotify:album:6FM2xH1XeAjOOWPZIj5jA3</t>
  </si>
  <si>
    <t>Songs Five Music</t>
  </si>
  <si>
    <t>Songs Five Session 1 - Som do Jardim (Ao Vivo)</t>
  </si>
  <si>
    <t>spotify:album:1OFfFTFjfF5NLcbJTgLXLC</t>
  </si>
  <si>
    <t>Brandão85</t>
  </si>
  <si>
    <t>ISSO É TRAP</t>
  </si>
  <si>
    <t>spotify:album:5OkHfijMqVa7pyVvDfr3BN</t>
  </si>
  <si>
    <t>iCollection</t>
  </si>
  <si>
    <t>Fazer Amor é Diferente de Amar - Ao Vivo</t>
  </si>
  <si>
    <t>https://deezer.com/track/3444081611</t>
  </si>
  <si>
    <t>Último Adeus / Blusa Vermelha - Ao Vivo</t>
  </si>
  <si>
    <t>https://music.apple.com/us/album/null/1837867200?i=1837867201</t>
  </si>
  <si>
    <t>SPEED DEMON</t>
  </si>
  <si>
    <t>Justin Bieber 2021 PS/ Def Jam</t>
  </si>
  <si>
    <t>https://music.apple.com/us/album/null/1792666546?i=1792667020</t>
  </si>
  <si>
    <t>How Bad Do U Want Me</t>
  </si>
  <si>
    <t>https://music.apple.com/us/album/null/1549774618?i=1549774621</t>
  </si>
  <si>
    <t>https://music.apple.com/us/album/null/1802765853?i=1802765854</t>
  </si>
  <si>
    <t>https://music.apple.com/us/album/null/1664276190?i=1664276823</t>
  </si>
  <si>
    <t>https://music.amazon.com/albums/B0FNPMLW6C?/trackAsin=B0FNPV6L5D</t>
  </si>
  <si>
    <t>Tchururu - Ao Vivo</t>
  </si>
  <si>
    <t>https://music.amazon.com/albums/B0FL7ZXFKL?/trackAsin=B0FL81PXQ3</t>
  </si>
  <si>
    <t>EM MINHA PRÓPRIA CASA / VASO NOVO</t>
  </si>
  <si>
    <t>https://music.amazon.com/albums/B0FNSXQDCM?/trackAsin=B0FNSV4J3W</t>
  </si>
  <si>
    <t>Henry Freitas</t>
  </si>
  <si>
    <t>Bobo é Eu</t>
  </si>
  <si>
    <t>https://music.amazon.com/albums/B0FN6S6FCQ?/trackAsin=B0FN6F9M13</t>
  </si>
  <si>
    <t>https://music.amazon.com/albums/B0FJ8Z64QG?/trackAsin=B0FJ8Y7BX6</t>
  </si>
  <si>
    <t>Prioridade (Ao Vivo)</t>
  </si>
  <si>
    <t>https://music.amazon.com/albums/B0FLSS1BCN?/trackAsin=B0FLSJ6L7N</t>
  </si>
  <si>
    <t>Maravilhosa Graça - Ao Vivo</t>
  </si>
  <si>
    <t>https://music.amazon.com/albums/B0FMHLSSL4?/trackAsin=B0FMJ6KR83</t>
  </si>
  <si>
    <t>Não Dorme Mais - Ao Vivo</t>
  </si>
  <si>
    <t>https://music.amazon.com/albums/B0FML5VGVT?/trackAsin=B0FMLG88L3</t>
  </si>
  <si>
    <t>Tem Milagre</t>
  </si>
  <si>
    <t>MKMusic</t>
  </si>
  <si>
    <t>https://music.amazon.com/albums/B0FLRMCM8D?/trackAsin=B0FLRFLLY8</t>
  </si>
  <si>
    <t>https://music.amazon.com/albums/B0FMGVWVMY?/trackAsin=B0FMH1G75R</t>
  </si>
  <si>
    <t>Luiz Henrique e Leo</t>
  </si>
  <si>
    <t>Termina Lá - Ao Vivo</t>
  </si>
  <si>
    <t>Terrível Music</t>
  </si>
  <si>
    <t>https://music.amazon.com/albums/B01LWD7197?/trackAsin=B01LWC4BNU</t>
  </si>
  <si>
    <t>Banda Gol</t>
  </si>
  <si>
    <t>Hino Nacional Brasileiro</t>
  </si>
  <si>
    <t>Gol Records</t>
  </si>
  <si>
    <t>https://music.amazon.com/albums/B0FMXJ2YJW?/trackAsin=B0FMXX8GC2</t>
  </si>
  <si>
    <t>https://music.amazon.com/albums/B0FNHL342D?/trackAsin=B0FNHBJB4T</t>
  </si>
  <si>
    <t>Em Busca Da Minha Sorte (Amazon Music Live) (Ao Vivo)</t>
  </si>
  <si>
    <t>trem-bala</t>
  </si>
  <si>
    <t>https://music.amazon.com/albums/B0CYS9CP76?/trackAsin=B0CYS1C954</t>
  </si>
  <si>
    <t>https://music.amazon.com/albums/B0FPKYXKLN?/trackAsin=B0FPKP68CR</t>
  </si>
  <si>
    <t>https://music.amazon.com/albums/B0FMJ1FV18?/trackAsin=B0FMHX99J9</t>
  </si>
  <si>
    <t>Mar.iana</t>
  </si>
  <si>
    <t>Em Mim Também Doeu</t>
  </si>
  <si>
    <t>https://music.amazon.com/albums/B09NB55TSS?/trackAsin=B09NB4NNRV</t>
  </si>
  <si>
    <t>Bloqueado - Ao Vivo</t>
  </si>
  <si>
    <t>joão 20 + pra sempre - ao vivo</t>
  </si>
  <si>
    <t>https://music.amazon.com/albums/B0FMBP5CXL?/trackAsin=B0FMB5735Q</t>
  </si>
  <si>
    <t>Samuel Rosa</t>
  </si>
  <si>
    <t>Não Tenha Dó</t>
  </si>
  <si>
    <t>https://music.amazon.com/albums/B093XWCSQS?/trackAsin=B093XZGJ94</t>
  </si>
  <si>
    <t>Mumuzinho</t>
  </si>
  <si>
    <t>Tomara</t>
  </si>
  <si>
    <t>https://music.amazon.com/albums/B0CRVWZZDR?/trackAsin=B0CRVX5Z11</t>
  </si>
  <si>
    <t>Gustavo Moura &amp; Rafael</t>
  </si>
  <si>
    <t>Digitando</t>
  </si>
  <si>
    <t>Astro Produções</t>
  </si>
  <si>
    <t>https://music.amazon.com/albums/B0CHLRNLBP?/trackAsin=B0CHLF89CQ</t>
  </si>
  <si>
    <t>https://music.amazon.com/albums/B0D68LYPGX?/trackAsin=B0D68R5CL6</t>
  </si>
  <si>
    <t>Manu</t>
  </si>
  <si>
    <t>Daqui pra Sempre</t>
  </si>
  <si>
    <t>manuoficial</t>
  </si>
  <si>
    <t>https://music.amazon.com/albums/B0D8K4W71H?/trackAsin=B0D8K5F9T1</t>
  </si>
  <si>
    <t>Promessas - Ao Vivo</t>
  </si>
  <si>
    <t>1000 graus (live)</t>
  </si>
  <si>
    <t>https://music.amazon.com/albums/B0CH3T38RZ?/trackAsin=B0CH3SGGN9</t>
  </si>
  <si>
    <t>https://music.amazon.com/albums/B0FGDS6SK1?/trackAsin=B0FGDVY4SP</t>
  </si>
  <si>
    <t>https://music.amazon.com/albums/B018V1IH8Q?/trackAsin=B018V1ILYG</t>
  </si>
  <si>
    <t>Eu Ligo Pra Você</t>
  </si>
  <si>
    <t>https://music.amazon.com/albums/B0FNTB965C?/trackAsin=B0FNTD4J3Q</t>
  </si>
  <si>
    <t>https://music.amazon.com/albums/B09HN8KZKH?/trackAsin=B09HN9FYHS</t>
  </si>
  <si>
    <t>https://music.amazon.com/albums/B07JCFWVNX?/trackAsin=B07JCFJM4X</t>
  </si>
  <si>
    <t>Você Foi Atriz</t>
  </si>
  <si>
    <t>Universal Music Ltda</t>
  </si>
  <si>
    <t>https://music.amazon.com/albums/B0DXNHDNQZ?/trackAsin=B0DXMVYLPB</t>
  </si>
  <si>
    <t>https://music.amazon.com/albums/B0C7FFRFZ8?/trackAsin=B0C7FKB9H1</t>
  </si>
  <si>
    <t>Eu Não Previ - Ao Vivo em Goiânia</t>
  </si>
  <si>
    <t>https://music.amazon.com/albums/B007RF5BH8?/trackAsin=B007RF5D7G</t>
  </si>
  <si>
    <t>Sem Medo de Ser Feliz</t>
  </si>
  <si>
    <t>https://music.amazon.com/albums/B0FNTB965C?/trackAsin=B0FNT6S4GB</t>
  </si>
  <si>
    <t>Maloqueiro - Ao Vivo</t>
  </si>
  <si>
    <t>https://music.amazon.com/albums/B0FN2NDSKK?/trackAsin=B0FN2XWJKT</t>
  </si>
  <si>
    <t>Luma Elpidio</t>
  </si>
  <si>
    <t>Pés Descalços - Acústico</t>
  </si>
  <si>
    <t>LeMusic</t>
  </si>
  <si>
    <t>https://music.amazon.com/albums/B0FML63R65?/trackAsin=B0FML5QFBL</t>
  </si>
  <si>
    <t>Bruna Lipiani</t>
  </si>
  <si>
    <t>Pernoite</t>
  </si>
  <si>
    <t>https://music.amazon.com/albums/B0DXGH7QVN?/trackAsin=B0DXGSR7LK</t>
  </si>
  <si>
    <t>24 horas de amor / só dá você na minha vida / pense em mim / talismã (ao vivo)</t>
  </si>
  <si>
    <t>Icaro e Gilmar Oficial</t>
  </si>
  <si>
    <t>https://music.amazon.com/albums/B0159OD0KI?/trackAsin=B0159OEIIG</t>
  </si>
  <si>
    <t>Bijuteria</t>
  </si>
  <si>
    <t>https://music.amazon.com/albums/B000T1CTAO?/trackAsin=B000T1CBYS</t>
  </si>
  <si>
    <t>Aonde Quer Que Eu Vá</t>
  </si>
  <si>
    <t>https://music.amazon.com/albums/B0BYF9LGK9?/trackAsin=B0BYFBK2FN</t>
  </si>
  <si>
    <t>https://music.amazon.com/albums/B00E3NLLP8?/trackAsin=B00E3NLMI4</t>
  </si>
  <si>
    <t>Cazuza</t>
  </si>
  <si>
    <t>Exagerado</t>
  </si>
  <si>
    <t>https://music.amazon.com/albums/B09BFY4KCB?/trackAsin=B09BFZ19HR</t>
  </si>
  <si>
    <t>Ele Quer Ser Eu - Ao Vivo</t>
  </si>
  <si>
    <t>https://music.amazon.com/albums/B073JMV3N1?/trackAsin=B073T34H2Q</t>
  </si>
  <si>
    <t>R.E.M.</t>
  </si>
  <si>
    <t>Losing My Religion</t>
  </si>
  <si>
    <t>Universal Music Group International</t>
  </si>
  <si>
    <t>https://music.amazon.com/albums/B0013UZD30?/trackAsin=B0013V0QLS</t>
  </si>
  <si>
    <t>minha alma (a paz que eu não quero)</t>
  </si>
  <si>
    <t>malandragem - ao vivo</t>
  </si>
  <si>
    <t>https://music.amazon.com/albums/B0D9XXZ5X8?/trackAsin=B0D9XXTSY1</t>
  </si>
  <si>
    <t>Grupo BalacoBaco</t>
  </si>
  <si>
    <t>Saudade da Gente (Ao Vivo na Resenha Pagode e Chinelo)</t>
  </si>
  <si>
    <t>https://music.amazon.com/albums/B0FBSCGSXR?/trackAsin=B0FBSDV2LQ</t>
  </si>
  <si>
    <t>Magoou - Ao Vivo</t>
  </si>
  <si>
    <t>Grupo Revelação / Interative</t>
  </si>
  <si>
    <t>https://music.amazon.com/albums/B0DKB5Y5F1?/trackAsin=B0DKB634M5</t>
  </si>
  <si>
    <t>https://music.amazon.com/albums/B0DDYV98KG?/trackAsin=B0DDYFGT3V</t>
  </si>
  <si>
    <t>Um Amor Puro (Amazon Music Live)</t>
  </si>
  <si>
    <t>https://music.amazon.com/albums/B0FBZ2BVS7?/trackAsin=B0FBYM31KJ</t>
  </si>
  <si>
    <t>https://music.amazon.com/albums/B07MJHYQL6?/trackAsin=B07MC9MYW8</t>
  </si>
  <si>
    <t>Felipe Araújo</t>
  </si>
  <si>
    <t>atrasadinha - live</t>
  </si>
  <si>
    <t>https://music.amazon.com/albums/B01HC09W22?/trackAsin=B01HC09WXQ</t>
  </si>
  <si>
    <t>Eu, Você, O Mar e Ela</t>
  </si>
  <si>
    <t>https://music.amazon.com/albums/B0D68CBCBW?/trackAsin=B0D6854ZD2</t>
  </si>
  <si>
    <t>https://music.amazon.com/albums/B09FYQFRW6?/trackAsin=B09FYSC19D</t>
  </si>
  <si>
    <t>Carona do Amor / Shortinho Saint-Tropez / Novos Tempos</t>
  </si>
  <si>
    <t>https://music.amazon.com/albums/B0DLDT3Y2N?/trackAsin=B0DLDSFNFT</t>
  </si>
  <si>
    <t>Foi Intenso - Ao Vivo</t>
  </si>
  <si>
    <t>https://music.amazon.com/albums/B0CWLRFPCG?/trackAsin=B0CWLQDYP1</t>
  </si>
  <si>
    <t>Vou Querer De Novo - Ao Vivo</t>
  </si>
  <si>
    <t>https://music.amazon.com/albums/B0D5CBR1LM?/trackAsin=B0D5CBDFKL</t>
  </si>
  <si>
    <t>Sou Pagodeiro (Love Yourself) - Ao Vivo</t>
  </si>
  <si>
    <t>https://music.amazon.com/albums/B08QD1V4P3?/trackAsin=B08QCMPM4G</t>
  </si>
  <si>
    <t>Amarelo, azul e branco</t>
  </si>
  <si>
    <t>https://music.amazon.com/albums/B06W5SS6CR?/trackAsin=B06W5KBX9S</t>
  </si>
  <si>
    <t>Eu Sei de Cor</t>
  </si>
  <si>
    <t>https://music.amazon.com/albums/B0FLGZRQLT?/trackAsin=B0FLH4B46H</t>
  </si>
  <si>
    <t>73</t>
  </si>
  <si>
    <t>https://www.youtube.com/watch?v=E-f_n1tZ06c</t>
  </si>
  <si>
    <t>Lua de Mel / Brigas por Nada / 1 Metro e 65 (Ao Vivo)</t>
  </si>
  <si>
    <t>https://www.youtube.com/watch?v=Qlmfn15flQo</t>
  </si>
  <si>
    <t>MC Nito, MT DO PALÁCIO, BK2P, Rennan da Penha</t>
  </si>
  <si>
    <t>Musica</t>
  </si>
  <si>
    <t>https://www.youtube.com/watch?v=1BCVYM2hl0g</t>
  </si>
  <si>
    <t>Guilherme, Benuto</t>
  </si>
  <si>
    <t>Deixaria tudo (Dejaria todo) / Programa de fim de semana / Ela é demais</t>
  </si>
  <si>
    <t>https://www.youtube.com/watch?v=3E7sjTjHU4A</t>
  </si>
  <si>
    <t>5 da Manhã (Ao Vivo)</t>
  </si>
  <si>
    <t>https://www.youtube.com/watch?v=dwM8vBtb8VU</t>
  </si>
  <si>
    <t>Fred, Gustavo</t>
  </si>
  <si>
    <t>Minha Vontade (Ao Vivo)</t>
  </si>
  <si>
    <t>https://www.youtube.com/watch?v=OqcHxX7DqKs</t>
  </si>
  <si>
    <t>Quem ama não machuca (No Camarim)</t>
  </si>
  <si>
    <t>https://www.youtube.com/watch?v=pryRq5HZ1ZA</t>
  </si>
  <si>
    <t>Luan Costa</t>
  </si>
  <si>
    <t>Nova York</t>
  </si>
  <si>
    <t>https://www.youtube.com/watch?v=jTzoWCG6Zo8</t>
  </si>
  <si>
    <t>https://www.youtube.com/watch?v=--aeM6QtwD4</t>
  </si>
  <si>
    <t>Zé Vaqueiro, Nattan, Rey Vaqueiro</t>
  </si>
  <si>
    <t>O Que É Amor Pra Você (Ao Vivo)</t>
  </si>
  <si>
    <t>https://www.youtube.com/watch?v=LfHm50UJW6U</t>
  </si>
  <si>
    <t>Confess your love (feat. ola.wav)</t>
  </si>
  <si>
    <t>XHellBeats</t>
  </si>
  <si>
    <t>CHICLETEIRA BICICLETEIRA FUNK</t>
  </si>
  <si>
    <t>https://www.youtube.com/watch?v=wHlAnhkLUvw</t>
  </si>
  <si>
    <t>Fantomel, Kate Linn</t>
  </si>
  <si>
    <t>Dame Un Grrr</t>
  </si>
  <si>
    <t>https://www.youtube.com/watch?v=lM4v4sq8ypo</t>
  </si>
  <si>
    <t>https://deezer.com/track/2551216482</t>
  </si>
  <si>
    <t>https://deezer.com/track/3376071721</t>
  </si>
  <si>
    <t>https://music.apple.com/us/album/null/1537830330?i=1537830816</t>
  </si>
  <si>
    <t>https://music.apple.com/us/album/null/1677151706?i=1677151866</t>
  </si>
  <si>
    <t>https://music.apple.com/us/album/null/1581205102?i=1581205442</t>
  </si>
  <si>
    <t>Vamo Tomar Uma</t>
  </si>
  <si>
    <t>https://music.apple.com/us/album/null/1576560821?i=1576561010</t>
  </si>
  <si>
    <t>Cidade Vizinha - Ao Vivo</t>
  </si>
  <si>
    <t>https://music.amazon.com/albums/B0FNH4VZP2?/trackAsin=B0FNGG9KP4</t>
  </si>
  <si>
    <t>Preciso Amar De Novo</t>
  </si>
  <si>
    <t>câmera lenta - ao vivo</t>
  </si>
  <si>
    <t>https://music.amazon.com/albums/B0FLHWV1V7?/trackAsin=B0FLJSKLNC</t>
  </si>
  <si>
    <t>Iguinho e Lulinha</t>
  </si>
  <si>
    <t>Isso Não é Ladrão</t>
  </si>
  <si>
    <t>https://music.amazon.com/albums/B0FNZ67BJT?/trackAsin=B0FNY6B2NL</t>
  </si>
  <si>
    <t>Sâmi Rico</t>
  </si>
  <si>
    <t>Solidão / Nenhuma Esperança (Ao Vivo)</t>
  </si>
  <si>
    <t>https://music.amazon.com/albums/B0FKVSBPZX?/trackAsin=B0FKVWBY7S</t>
  </si>
  <si>
    <t>O Deus Que Eu Amo (Ao Vivo)</t>
  </si>
  <si>
    <t>https://music.amazon.com/albums/B0FNBDMGBG?/trackAsin=B0FNBS51Z8</t>
  </si>
  <si>
    <t>Cama De Amigos</t>
  </si>
  <si>
    <t>https://music.amazon.com/albums/B0CNQJ3Q8G?/trackAsin=B0CNQJ751S</t>
  </si>
  <si>
    <t>https://music.amazon.com/albums/B073GZZZYJ?/trackAsin=B073H1ZQ36</t>
  </si>
  <si>
    <t>Palavras (Words)</t>
  </si>
  <si>
    <t>Digital Distribution Palestinian Territory Occupied</t>
  </si>
  <si>
    <t>https://music.amazon.com/albums/B0D9KP2DZK?/trackAsin=B0D9KPQRVS</t>
  </si>
  <si>
    <t>Ativou a Saudade - Ao Vivo</t>
  </si>
  <si>
    <t>Rionegro e Solimões</t>
  </si>
  <si>
    <t>https://music.amazon.com/albums/B002P2TZMA?/trackAsin=B002P2XKEY</t>
  </si>
  <si>
    <t>Infinita Highway</t>
  </si>
  <si>
    <t>https://music.amazon.com/albums/B0F15FBYJD?/trackAsin=B0F15R6CKQ</t>
  </si>
  <si>
    <t>https://music.amazon.com/albums/B073JPBMK9?/trackAsin=B073SW7L5S</t>
  </si>
  <si>
    <t>Decida - Ao Vivo</t>
  </si>
  <si>
    <t>https://music.amazon.com/albums/B073JMY4WW?/trackAsin=B073NWV5DX</t>
  </si>
  <si>
    <t>Fruto Especial</t>
  </si>
  <si>
    <t>https://music.amazon.com/albums/B0C3X2KMJK?/trackAsin=B0C3X32X75</t>
  </si>
  <si>
    <t>Manda um Oi - Ao Vivo</t>
  </si>
  <si>
    <t>https://music.amazon.com/albums/B0013GOFG0?/trackAsin=B07F1J43NR</t>
  </si>
  <si>
    <t>Zeca Pagodinho</t>
  </si>
  <si>
    <t>Deixa A Vida Me Levar</t>
  </si>
  <si>
    <t>Universal/Island Def Jam</t>
  </si>
  <si>
    <t>https://music.amazon.com/albums/B08GLRCZDB?/trackAsin=B08GLQMTQW</t>
  </si>
  <si>
    <t>Di Paullo &amp; Paulino</t>
  </si>
  <si>
    <t>estrelinha - ao vivo</t>
  </si>
  <si>
    <t>Primavera Digital</t>
  </si>
  <si>
    <t>https://music.amazon.com/albums/B007XCRIPS?/trackAsin=B007XCRJSE</t>
  </si>
  <si>
    <t>Whisky a Go-Go</t>
  </si>
  <si>
    <t>https://music.amazon.com/albums/B0FL4Z3DCF?/trackAsin=B0FL4MQRC7</t>
  </si>
  <si>
    <t>um maluco cowboy - ao vivo</t>
  </si>
  <si>
    <t>https://music.amazon.com/albums/B081HG2X32?/trackAsin=B081HGNFWK</t>
  </si>
  <si>
    <t>Imprevistos</t>
  </si>
  <si>
    <t>https://music.amazon.com/albums/B0DBKSRZDQ?/trackAsin=B0DBK985C3</t>
  </si>
  <si>
    <t>Domingo de Manhã (Amazon Music Live)</t>
  </si>
  <si>
    <t>https://music.amazon.com/albums/B002B0QGFA?/trackAsin=B002B0SAKY</t>
  </si>
  <si>
    <t>Vida Vazia - Ao Vivo</t>
  </si>
  <si>
    <t>https://music.amazon.com/albums/B085K9M8JR?/trackAsin=B085K91CP8</t>
  </si>
  <si>
    <t>Alô Ambev (Segue Sua Vida) - Ao Vivo</t>
  </si>
  <si>
    <t>https://music.amazon.com/albums/B085ZHKJRJ?/trackAsin=B085ZRPDRG</t>
  </si>
  <si>
    <t>Mega Sena</t>
  </si>
  <si>
    <t>https://music.amazon.com/albums/B073HZW8SW?/trackAsin=B073NLNV9F</t>
  </si>
  <si>
    <t>Pense em mim</t>
  </si>
  <si>
    <t>https://music.amazon.com/albums/B08MC2DH4L?/trackAsin=B08MBZJ2XW</t>
  </si>
  <si>
    <t>vai me dando corda - ao vivo</t>
  </si>
  <si>
    <t>https://music.amazon.com/albums/B008YE44CE?/trackAsin=B008YE45PA</t>
  </si>
  <si>
    <t>Vamos Fugir</t>
  </si>
  <si>
    <t>https://music.amazon.com/albums/B00IKTBE7G?/trackAsin=B00IKTBGVK</t>
  </si>
  <si>
    <t>Sina</t>
  </si>
  <si>
    <t>https://music.amazon.com/albums/B082FQWRYP?/trackAsin=B082FQXK1T</t>
  </si>
  <si>
    <t>Saudade de Minha Terra - Ao Vivo</t>
  </si>
  <si>
    <t>https://music.amazon.com/albums/B01EJV9ETS?/trackAsin=B01EJV9PQA</t>
  </si>
  <si>
    <t>Cigana</t>
  </si>
  <si>
    <t>https://music.amazon.com/albums/B0DPXYW7QW?/trackAsin=B0DPXZGKRM</t>
  </si>
  <si>
    <t>Sem Você</t>
  </si>
  <si>
    <t>https://music.amazon.com/albums/B0CP33M69H?/trackAsin=B0CP34GWSV</t>
  </si>
  <si>
    <t>DEJA VU</t>
  </si>
  <si>
    <t>https://music.amazon.com/albums/B0F4LV8G1S?/trackAsin=B0F4L984HJ</t>
  </si>
  <si>
    <t>https://music.amazon.com/albums/B078Z742Z4?/trackAsin=B073M6GW9N</t>
  </si>
  <si>
    <t>zóio de lula</t>
  </si>
  <si>
    <t>https://music.amazon.com/albums/B073JSQGBF?/trackAsin=B073LYPSWX</t>
  </si>
  <si>
    <t>Dire Straits</t>
  </si>
  <si>
    <t>Sultans of Swing</t>
  </si>
  <si>
    <t>https://music.amazon.com/albums/B07CQ8B47B?/trackAsin=B07CQ4JYF3</t>
  </si>
  <si>
    <t>https://music.amazon.com/albums/B09JFVTXKG?/trackAsin=B09JFKWSM3</t>
  </si>
  <si>
    <t>Folha Seca</t>
  </si>
  <si>
    <t>Midas Music</t>
  </si>
  <si>
    <t>https://music.amazon.com/albums/B07ZQP8CRL?/trackAsin=B07ZQNN2Z7</t>
  </si>
  <si>
    <t>Some que ele vem atrás</t>
  </si>
  <si>
    <t>https://music.amazon.com/albums/B07GLCNMTH?/trackAsin=B07GL9YLZ5</t>
  </si>
  <si>
    <t>O Descobridor Dos Sete Mares</t>
  </si>
  <si>
    <t>Digital Distribution Trinidad and Tobago</t>
  </si>
  <si>
    <t>https://music.amazon.com/albums/B081L4LZSB?/trackAsin=B081L4G5GV</t>
  </si>
  <si>
    <t>https://music.amazon.com/albums/B07VX1BSK8?/trackAsin=B07VY187D5</t>
  </si>
  <si>
    <t>Intenção - Ao Vivo</t>
  </si>
  <si>
    <t>https://music.amazon.com/albums/B081QSR4QV?/trackAsin=B073RHBDTJ</t>
  </si>
  <si>
    <t>relicário - ao vivo</t>
  </si>
  <si>
    <t>https://music.amazon.com/albums/B0DJ1SRWQB?/trackAsin=B0DJ1SCHYN</t>
  </si>
  <si>
    <t>Cerveja De Garrafa (Amazon Music Live) (Ao Vivo)</t>
  </si>
  <si>
    <t>https://music.amazon.com/albums/B09W3RZWTP?/trackAsin=B09W44DLJZ</t>
  </si>
  <si>
    <t>Termina Comigo Antes</t>
  </si>
  <si>
    <t>https://music.amazon.com/albums/B0DJ4XT5Z9?/trackAsin=B0DJ4WNQBJ</t>
  </si>
  <si>
    <t>Tô Bem Melhor - Ao Vivo</t>
  </si>
  <si>
    <t>https://music.amazon.com/albums/B073JRYBFG?/trackAsin=B073S7Y553</t>
  </si>
  <si>
    <t>Nossa Senhora - Versão Remasterizada</t>
  </si>
  <si>
    <t>https://music.amazon.com/albums/B0DHW7WGKQ?/trackAsin=B0DHW6WT6N</t>
  </si>
  <si>
    <t>Encaixe Perfeito - Ao Vivo</t>
  </si>
  <si>
    <t>https://music.amazon.com/albums/B0BN57WT8K?/trackAsin=B0BN55LKVX</t>
  </si>
  <si>
    <t>Apelido Carinhoso</t>
  </si>
  <si>
    <t>https://music.amazon.com/albums/B0CNWTH2PH?/trackAsin=B0CNWV7ZZ6</t>
  </si>
  <si>
    <t>Você Vai Ser Fiel - Ao Vivo</t>
  </si>
  <si>
    <t>https://music.amazon.com/albums/B0DZCB2HDK?/trackAsin=B0DZC9797X</t>
  </si>
  <si>
    <t>A Viola e Eu - Ao Vivo</t>
  </si>
  <si>
    <t>NA Records</t>
  </si>
  <si>
    <t>https://music.amazon.com/albums/B00138H45W?/trackAsin=B00137GHF6</t>
  </si>
  <si>
    <t>don't stop believin' (2022 remaster)</t>
  </si>
  <si>
    <t>https://music.amazon.com/albums/B073JKFLSD?/trackAsin=B073SPG948</t>
  </si>
  <si>
    <t>Serenata</t>
  </si>
  <si>
    <t>https://music.amazon.com/albums/B073HY95HK?/trackAsin=B073N126VQ</t>
  </si>
  <si>
    <t>Raul Seixas</t>
  </si>
  <si>
    <t>Metamorfose Ambulante</t>
  </si>
  <si>
    <t>https://www.youtube.com/watch?v=s0qCE3aMo2k</t>
  </si>
  <si>
    <t>Seresta do Rasta</t>
  </si>
  <si>
    <t>https://www.youtube.com/watch?v=356OilwxvcY</t>
  </si>
  <si>
    <t>VAI VAI TRAIR</t>
  </si>
  <si>
    <t>https://www.youtube.com/watch?v=QGsevnbItdU</t>
  </si>
  <si>
    <t>https://www.youtube.com/watch?v=eVwdlKoRN4M</t>
  </si>
  <si>
    <t>Léo Sergipano</t>
  </si>
  <si>
    <t>Carlinhos Me Chama Tu Não Vai Se Arrepender</t>
  </si>
  <si>
    <t>https://www.youtube.com/watch?v=J3Sx0cqB8qo</t>
  </si>
  <si>
    <t>Anderson Neiff</t>
  </si>
  <si>
    <t>Tua Ex É Uma Delícia</t>
  </si>
  <si>
    <t>https://www.youtube.com/watch?v=vyIc6LbHzQs</t>
  </si>
  <si>
    <t>MC LUUKY, dj jb mix</t>
  </si>
  <si>
    <t>Malvadinho</t>
  </si>
  <si>
    <t>89</t>
  </si>
  <si>
    <t>https://www.youtube.com/watch?v=Bmu_8k-7Uys</t>
  </si>
  <si>
    <t>https://www.youtube.com/watch?v=bS9r47RA_To</t>
  </si>
  <si>
    <t>Biometria</t>
  </si>
  <si>
    <t>https://www.youtube.com/watch?v=K4bQJ3sf3ms</t>
  </si>
  <si>
    <t>Theuzinho, Nadson O Ferinha</t>
  </si>
  <si>
    <t>Vou Começar a Não Prestar (Ao Vivo)</t>
  </si>
  <si>
    <t>https://www.youtube.com/watch?v=pAgrfnrwi-4</t>
  </si>
  <si>
    <t>Panda, Humberto, Ronaldo, Ícaro e Gilmar</t>
  </si>
  <si>
    <t>Essa História Eu Conheço / Amor de Carnaval / Sou Eu (Ao Vivo)</t>
  </si>
  <si>
    <t>https://www.youtube.com/watch?v=mgjThJmHkzg</t>
  </si>
  <si>
    <t>Theuzinho Cantor</t>
  </si>
  <si>
    <t>Theuzinho - Não Faz Sentido (Clipe Oficial)</t>
  </si>
  <si>
    <t>99</t>
  </si>
  <si>
    <t>https://www.youtube.com/watch?v=wjnwx1p7AbU</t>
  </si>
  <si>
    <t>Wglemerson Lima, Leãozinho do Forró</t>
  </si>
  <si>
    <t>Vestidinho Preto</t>
  </si>
  <si>
    <t>https://www.youtube.com/watch?v=kAWOczWcOCQ</t>
  </si>
  <si>
    <t>Bruno, Marrone</t>
  </si>
  <si>
    <t>Se Não Tivesse Ido (Ao Vivo)</t>
  </si>
  <si>
    <t>https://www.youtube.com/watch?v=g237LJuJqiU</t>
  </si>
  <si>
    <t>Marvvila, Gamadinho</t>
  </si>
  <si>
    <t>Instinto (Ao Vivo)</t>
  </si>
  <si>
    <t>https://charts.youtube.com/artist/%2Fm%2Fnomid</t>
  </si>
  <si>
    <t>Lil Durk</t>
  </si>
  <si>
    <t>https://charts.youtube.com/artist/%2Fg%2F11lp7_wfd1</t>
  </si>
  <si>
    <t>13,8 mi</t>
  </si>
  <si>
    <t>6,8 mi</t>
  </si>
  <si>
    <t>5,2 mi</t>
  </si>
  <si>
    <t>5,1 mi</t>
  </si>
  <si>
    <t>4,4 mi</t>
  </si>
  <si>
    <t>3,8 mi</t>
  </si>
  <si>
    <t>3,6 mi</t>
  </si>
  <si>
    <t>https://youtube.com/watch?v=Mgp3fEbf-ew</t>
  </si>
  <si>
    <t>3,2 mi</t>
  </si>
  <si>
    <t>2,8 mi</t>
  </si>
  <si>
    <t>https://youtube.com/watch?v=V9vuCByb6js</t>
  </si>
  <si>
    <t>https://youtube.com/watch?v=Wtuu2XvBvW8</t>
  </si>
  <si>
    <t>Amor dos outros (Ao Vivo)</t>
  </si>
  <si>
    <t>-18</t>
  </si>
  <si>
    <t>-11</t>
  </si>
  <si>
    <t>-13</t>
  </si>
  <si>
    <t>https://youtube.com/watch?v=OXBCV5WixCU</t>
  </si>
  <si>
    <t>De Dentro Pra Fora (Live)</t>
  </si>
  <si>
    <t>https://youtube.com/watch?v=8tsv3Y24P9w</t>
  </si>
  <si>
    <t>Gordinho Bolado</t>
  </si>
  <si>
    <t>https://youtube.com/watch?v=_zKnEm9xPWw</t>
  </si>
  <si>
    <t>Tropa do Kevin (feat. DJ Hyago, Mc Leleh, Mc Luki, Mc Capelinha &amp; MC MENO K)</t>
  </si>
  <si>
    <t>https://youtube.com/watch?v=sRc1Fh0y3ZI</t>
  </si>
  <si>
    <t>-16</t>
  </si>
  <si>
    <t>https://youtube.com/watch?v=EYKvaR7o6xM</t>
  </si>
  <si>
    <t>https://youtube.com/watch?v=lI8OpUT3NmQ</t>
  </si>
  <si>
    <t>https://youtube.com/watch?v=G8YyLZVwTYc</t>
  </si>
  <si>
    <t>Luis Silva</t>
  </si>
  <si>
    <t>Só uma Fase (Ao Vivo)</t>
  </si>
  <si>
    <t>https://youtube.com/watch?v=r_F3C9jFlI0</t>
  </si>
  <si>
    <t>J. Eskine, Oruam, Alef Donk</t>
  </si>
  <si>
    <t>-30</t>
  </si>
  <si>
    <t>https://youtube.com/watch?v=IMOgRTxv3nw</t>
  </si>
  <si>
    <t>Yeshua</t>
  </si>
  <si>
    <t>-17</t>
  </si>
  <si>
    <t>https://deezer.com/track/3521565141</t>
  </si>
  <si>
    <t>Hugo &amp; Guilherme, Ana Castela</t>
  </si>
  <si>
    <t>Todo Mundo Menos Eu - Ao Vivo</t>
  </si>
  <si>
    <t>https://music.apple.com/us/album/null/1837298856?i=1837298858</t>
  </si>
  <si>
    <t>https://music.apple.com/us/album/null/1544323964?i=1544324124</t>
  </si>
  <si>
    <t>no tears left to cry</t>
  </si>
  <si>
    <t>https://www.youtube.com/watch?v=iFVEuiIX_WY</t>
  </si>
  <si>
    <t>https://www.youtube.com/watch?v=u2FOGNSJfX8</t>
  </si>
  <si>
    <t>Santo Pra Sempre (Ao Vivo )</t>
  </si>
  <si>
    <t>Hugo e Guilherme</t>
  </si>
  <si>
    <t>Hugo e Guilherme - Todo Mundo Menos Eu feat. @anacastelaoficial  | Só Se Vive Uma Vez</t>
  </si>
  <si>
    <t>87</t>
  </si>
  <si>
    <t>81</t>
  </si>
  <si>
    <t>https://www.youtube.com/watch?v=YuRNLwtLRko</t>
  </si>
  <si>
    <t>Separação</t>
  </si>
  <si>
    <t>https://www.youtube.com/watch?v=5t9qQwbo-GQ</t>
  </si>
  <si>
    <t>Os Feras do Pizeiro, Victor Meira</t>
  </si>
  <si>
    <t>Bora Revoar</t>
  </si>
  <si>
    <t>74</t>
  </si>
  <si>
    <t>79</t>
  </si>
  <si>
    <t>98</t>
  </si>
  <si>
    <t>https://www.youtube.com/watch?v=Edx5AbKug0A</t>
  </si>
  <si>
    <t>Adeus Aquele Amor</t>
  </si>
  <si>
    <t>95</t>
  </si>
  <si>
    <t>https://www.youtube.com/watch?v=sb9fRMvwgw0</t>
  </si>
  <si>
    <t>Pecado de Amor</t>
  </si>
  <si>
    <t>92</t>
  </si>
  <si>
    <t>https://www.youtube.com/watch?v=VHhz7pjJRU4</t>
  </si>
  <si>
    <t>Pra Mim Valeu (Ao Vivo)</t>
  </si>
  <si>
    <t>https://www.youtube.com/watch?v=wAWEWB64k8U</t>
  </si>
  <si>
    <t>Brenno Oliveira</t>
  </si>
  <si>
    <t>Um Brega de Verdade</t>
  </si>
  <si>
    <t>https://www.youtube.com/watch?v=pd9RNqAFY48</t>
  </si>
  <si>
    <t>Rey Vaqueiro</t>
  </si>
  <si>
    <t>BATERIA ACABOU</t>
  </si>
  <si>
    <t>https://www.youtube.com/watch?v=N2O_LSwTKh4</t>
  </si>
  <si>
    <t>Hugo, Guilherme</t>
  </si>
  <si>
    <t>Hugo e Guilherme part. Marília Mendonça Dilsinho Juliano - Pot Pourri TE AMAR FOI ILUSÃO</t>
  </si>
  <si>
    <t>https://www.youtube.com/watch?v=VeQayXcy0kA</t>
  </si>
  <si>
    <t>Marcynho Sensação</t>
  </si>
  <si>
    <t>MULHER ROLEIRA</t>
  </si>
  <si>
    <t>https://www.youtube.com/watch?v=r_F3C9jFlI0</t>
  </si>
  <si>
    <t>J. Eskine, Oruam</t>
  </si>
  <si>
    <t>https://www.youtube.com/watch?v=-vaUnxXoKpw</t>
  </si>
  <si>
    <t>https://www.youtube.com/watch?v=bxsy1da3cQc</t>
  </si>
  <si>
    <t>84</t>
  </si>
  <si>
    <t>https://www.youtube.com/watch?v=AIUYAG62eCc</t>
  </si>
  <si>
    <t>Proposta</t>
  </si>
  <si>
    <t>https://www.youtube.com/watch?v=co-TFLbaZAE</t>
  </si>
  <si>
    <t>102</t>
  </si>
  <si>
    <t>107</t>
  </si>
  <si>
    <t>https://www.youtube.com/watch?v=2cnloO84LA0</t>
  </si>
  <si>
    <t>MC Bringel, Lukão Mec</t>
  </si>
  <si>
    <t>https://deezer.com/track/947669932</t>
  </si>
  <si>
    <t>https://deezer.com/track/2817603672</t>
  </si>
  <si>
    <t>https://deezer.com/track/3073654521</t>
  </si>
  <si>
    <t>https://deezer.com/track/3537990861</t>
  </si>
  <si>
    <t>https://deezer.com/track/2195182467</t>
  </si>
  <si>
    <t>https://deezer.com/track/1645526762</t>
  </si>
  <si>
    <t>https://deezer.com/track/3429968981</t>
  </si>
  <si>
    <t>Get Worship, Melk Villar, Vinícius Cruz, Get Global</t>
  </si>
  <si>
    <t>https://deezer.com/track/2521481511</t>
  </si>
  <si>
    <t>https://deezer.com/track/2407549285</t>
  </si>
  <si>
    <t>https://deezer.com/track/2401937375</t>
  </si>
  <si>
    <t>Paulo Cesar Baruk, Marsena, O Canto das Igrejas</t>
  </si>
  <si>
    <t>https://deezer.com/track/676183</t>
  </si>
  <si>
    <t>Warner Bros.</t>
  </si>
  <si>
    <t>https://deezer.com/track/3214169391</t>
  </si>
  <si>
    <t>https://deezer.com/track/3266863381</t>
  </si>
  <si>
    <t>Amor Dos Outros - Ao Vivo</t>
  </si>
  <si>
    <t>https://deezer.com/track/2869085122</t>
  </si>
  <si>
    <t>fhop music, Nívea Soares</t>
  </si>
  <si>
    <t>A Boa Parte - Ao Vivo</t>
  </si>
  <si>
    <t>https://deezer.com/track/1563019072</t>
  </si>
  <si>
    <t>Jeová Jireh</t>
  </si>
  <si>
    <t>https://deezer.com/track/1751492317</t>
  </si>
  <si>
    <t>Casa Worship, Julliany Souza, Léo Brandão</t>
  </si>
  <si>
    <t>A Noite (La Notte) - Ao Vivo</t>
  </si>
  <si>
    <t>https://music.apple.com/us/album/null/1779319620?i=1779319634</t>
  </si>
  <si>
    <t>https://music.apple.com/us/album/null/1825994646?i=1825994649</t>
  </si>
  <si>
    <t>ILH Production Co. LLC / Def Jam Recordings</t>
  </si>
  <si>
    <t>https://music.apple.com/us/album/null/1809854729?i=1809854730</t>
  </si>
  <si>
    <t>https://music.apple.com/us/album/null/1758497038?i=1758497040</t>
  </si>
  <si>
    <t>https://music.apple.com/us/album/null/1781121737?i=1781121810</t>
  </si>
  <si>
    <t>Numa Ilha</t>
  </si>
  <si>
    <t>https://music.apple.com/us/album/null/590431776?i=590431785</t>
  </si>
  <si>
    <t>https://music.apple.com/us/album/null/1450330588?i=1450330685</t>
  </si>
  <si>
    <t>7 rings</t>
  </si>
  <si>
    <t>https://music.apple.com/us/album/null/1828261054?i=1828261475</t>
  </si>
  <si>
    <t>https://music.apple.com/us/album/null/1810796698?i=1810796703</t>
  </si>
  <si>
    <t>Just Keep Watching</t>
  </si>
  <si>
    <t>https://music.apple.com/us/album/null/1837310866?i=1837310874</t>
  </si>
  <si>
    <t>Can’t Stop the High</t>
  </si>
  <si>
    <t>https://music.apple.com/us/album/null/1776914756?i=1776914757</t>
  </si>
  <si>
    <t>The Weeknd, Anitta</t>
  </si>
  <si>
    <t>são paulo (feat. anitta)</t>
  </si>
  <si>
    <t>https://music.apple.com/us/album/null/1545270092?i=1545270163</t>
  </si>
  <si>
    <t>Into You</t>
  </si>
  <si>
    <t>https://music.apple.com/us/album/null/1790495885?i=1790495886</t>
  </si>
  <si>
    <t>https://music.apple.com/us/album/null/1615584999?i=1615585008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</si>
</sst>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/>
      <top/>
      <bottom style="double">
        <color theme="0" tint="-0.24994659260841701"/>
      </bottom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3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3" borderId="6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7" xfId="0" applyFill="1" applyBorder="1"/>
    <xf numFmtId="0" fontId="0" fillId="3" borderId="0" xfId="0" applyFill="1"/>
    <xf numFmtId="0" fontId="0" fillId="3" borderId="3" xfId="0" applyFill="1" applyBorder="1"/>
    <xf numFmtId="0" fontId="0" fillId="3" borderId="8" xfId="0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0" xfId="0" applyNumberFormat="1"/>
  </cellXfs>
  <cellStyles count="1">
    <cellStyle name="Normal" xfId="0" builtinId="0"/>
  </cellStyles>
  <dxfs count="102"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428627</xdr:colOff>
      <xdr:row>6</xdr:row>
      <xdr:rowOff>13906</xdr:rowOff>
    </xdr:from>
    <xdr:to>
      <xdr:col>7</xdr:col>
      <xdr:colOff>266701</xdr:colOff>
      <xdr:row>11</xdr:row>
      <xdr:rowOff>131368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6A7967E-24AA-436C-998C-4D6631BE8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6627" y="1175956"/>
          <a:ext cx="1057274" cy="1069962"/>
        </a:xfrm>
        <a:prstGeom prst="rect">
          <a:avLst/>
        </a:prstGeom>
      </xdr:spPr>
    </xdr:pic>
    <xdr:clientData/>
  </xdr:twoCellAnchor>
  <xdr:twoCellAnchor>
    <xdr:from>
      <xdr:col>2</xdr:col>
      <xdr:colOff>238124</xdr:colOff>
      <xdr:row>8</xdr:row>
      <xdr:rowOff>0</xdr:rowOff>
    </xdr:from>
    <xdr:to>
      <xdr:col>5</xdr:col>
      <xdr:colOff>95249</xdr:colOff>
      <xdr:row>9</xdr:row>
      <xdr:rowOff>180976</xdr:rowOff>
    </xdr:to>
    <xdr:sp macro="[0]!RetânguloCantosArredondados5_Clique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D6CDD1F-28FA-ADE2-D643-7CF1DF5A8723}"/>
            </a:ext>
          </a:extLst>
        </xdr:cNvPr>
        <xdr:cNvSpPr/>
      </xdr:nvSpPr>
      <xdr:spPr>
        <a:xfrm>
          <a:off x="1457324" y="1543050"/>
          <a:ext cx="1685925" cy="371476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2. Daily Spotify</a:t>
          </a:r>
        </a:p>
      </xdr:txBody>
    </xdr:sp>
    <xdr:clientData/>
  </xdr:twoCellAnchor>
  <xdr:twoCellAnchor>
    <xdr:from>
      <xdr:col>2</xdr:col>
      <xdr:colOff>238124</xdr:colOff>
      <xdr:row>5</xdr:row>
      <xdr:rowOff>114300</xdr:rowOff>
    </xdr:from>
    <xdr:to>
      <xdr:col>5</xdr:col>
      <xdr:colOff>76199</xdr:colOff>
      <xdr:row>7</xdr:row>
      <xdr:rowOff>123825</xdr:rowOff>
    </xdr:to>
    <xdr:sp macro="[0]!RetânguloCantosArredondados1_Cli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358B702-8BE5-4670-8CBD-F20CC3DF235A}"/>
            </a:ext>
          </a:extLst>
        </xdr:cNvPr>
        <xdr:cNvSpPr/>
      </xdr:nvSpPr>
      <xdr:spPr>
        <a:xfrm>
          <a:off x="1457324" y="1085850"/>
          <a:ext cx="1666875" cy="39052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1.</a:t>
          </a:r>
          <a:r>
            <a:rPr lang="pt-BR" sz="1200" b="1" baseline="0"/>
            <a:t> Daily Dee-Am-Apple</a:t>
          </a:r>
          <a:endParaRPr lang="pt-BR" sz="1200" b="1"/>
        </a:p>
      </xdr:txBody>
    </xdr:sp>
    <xdr:clientData/>
  </xdr:twoCellAnchor>
  <xdr:twoCellAnchor>
    <xdr:from>
      <xdr:col>2</xdr:col>
      <xdr:colOff>247650</xdr:colOff>
      <xdr:row>10</xdr:row>
      <xdr:rowOff>85725</xdr:rowOff>
    </xdr:from>
    <xdr:to>
      <xdr:col>5</xdr:col>
      <xdr:colOff>76200</xdr:colOff>
      <xdr:row>12</xdr:row>
      <xdr:rowOff>76200</xdr:rowOff>
    </xdr:to>
    <xdr:sp macro="[0]!RetânguloCantosArredondados2_Cliqu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A324524-B61B-FA36-0F5E-69884EF0D6F9}"/>
            </a:ext>
          </a:extLst>
        </xdr:cNvPr>
        <xdr:cNvSpPr/>
      </xdr:nvSpPr>
      <xdr:spPr>
        <a:xfrm>
          <a:off x="1466850" y="2009775"/>
          <a:ext cx="1657350" cy="37147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>
              <a:solidFill>
                <a:schemeClr val="bg1"/>
              </a:solidFill>
            </a:rPr>
            <a:t>3. Daily Youtube</a:t>
          </a:r>
        </a:p>
      </xdr:txBody>
    </xdr:sp>
    <xdr:clientData/>
  </xdr:twoCellAnchor>
  <xdr:twoCellAnchor>
    <xdr:from>
      <xdr:col>7</xdr:col>
      <xdr:colOff>561975</xdr:colOff>
      <xdr:row>5</xdr:row>
      <xdr:rowOff>114300</xdr:rowOff>
    </xdr:from>
    <xdr:to>
      <xdr:col>10</xdr:col>
      <xdr:colOff>161925</xdr:colOff>
      <xdr:row>7</xdr:row>
      <xdr:rowOff>114300</xdr:rowOff>
    </xdr:to>
    <xdr:sp macro="[0]!RetânguloCantosArredondados3_Cli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A7EE7B-61DA-7DE6-7898-9CC5136D8980}"/>
            </a:ext>
          </a:extLst>
        </xdr:cNvPr>
        <xdr:cNvSpPr/>
      </xdr:nvSpPr>
      <xdr:spPr>
        <a:xfrm>
          <a:off x="4829175" y="1085850"/>
          <a:ext cx="1428750" cy="3810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4. Weekly Spotify</a:t>
          </a:r>
        </a:p>
      </xdr:txBody>
    </xdr:sp>
    <xdr:clientData/>
  </xdr:twoCellAnchor>
  <xdr:twoCellAnchor>
    <xdr:from>
      <xdr:col>7</xdr:col>
      <xdr:colOff>561975</xdr:colOff>
      <xdr:row>7</xdr:row>
      <xdr:rowOff>180975</xdr:rowOff>
    </xdr:from>
    <xdr:to>
      <xdr:col>10</xdr:col>
      <xdr:colOff>161925</xdr:colOff>
      <xdr:row>9</xdr:row>
      <xdr:rowOff>180975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652A7754-273E-387C-C47A-AD77439BED87}"/>
            </a:ext>
          </a:extLst>
        </xdr:cNvPr>
        <xdr:cNvSpPr/>
      </xdr:nvSpPr>
      <xdr:spPr>
        <a:xfrm>
          <a:off x="4829175" y="1533525"/>
          <a:ext cx="1428750" cy="3810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5. Weekly Youtube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T_spotify_daily_.xlsx" TargetMode="External"/><Relationship Id="rId1" Type="http://schemas.openxmlformats.org/officeDocument/2006/relationships/externalLinkPath" Target="/Meu%20Drive/6.Atualiza&#231;&#227;o_Bases/8.Atualiza&#231;&#227;o_streams/Tabelas_Streams/T_spotify_daily_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T_spotify_weekly.xlsx" TargetMode="External"/><Relationship Id="rId1" Type="http://schemas.openxmlformats.org/officeDocument/2006/relationships/externalLinkPath" Target="/Meu%20Drive/6.Atualiza&#231;&#227;o_Bases/8.Atualiza&#231;&#227;o_streams/Tabelas_Streams/T_spotify_weekly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youtube_daily_weekly.xlsx" TargetMode="External"/><Relationship Id="rId1" Type="http://schemas.openxmlformats.org/officeDocument/2006/relationships/externalLinkPath" Target="/Meu%20Drive/6.Atualiza&#231;&#227;o_Bases/8.Atualiza&#231;&#227;o_streams/Tabelas_Streams/youtube_daily_week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asil___Top_Songs_Daily"/>
      <sheetName val="Brasil___Top_Artists_Daily"/>
    </sheetNames>
    <sheetDataSet>
      <sheetData sheetId="0">
        <row r="1">
          <cell r="C1" t="str">
            <v>uri</v>
          </cell>
          <cell r="L1" t="str">
            <v>Data de Pico</v>
          </cell>
        </row>
        <row r="2">
          <cell r="C2" t="str">
            <v>spotify:track:4bxyHku6rNffRealVxu30p</v>
          </cell>
          <cell r="L2">
            <v>45903</v>
          </cell>
        </row>
        <row r="3">
          <cell r="C3" t="str">
            <v>spotify:track:2GylVVMD21R4SqgAt8gGC5</v>
          </cell>
          <cell r="L3">
            <v>45873</v>
          </cell>
        </row>
        <row r="4">
          <cell r="C4" t="str">
            <v>spotify:track:280QfKhmWGn3LbyB39aA7u</v>
          </cell>
          <cell r="L4">
            <v>45673</v>
          </cell>
        </row>
        <row r="5">
          <cell r="C5" t="str">
            <v>spotify:track:5dcOxj5o672WzZCc7OOUkX</v>
          </cell>
          <cell r="L5">
            <v>45874</v>
          </cell>
        </row>
        <row r="6">
          <cell r="C6" t="str">
            <v>spotify:track:7obLUtc7Q3mXPt1LvHyE86</v>
          </cell>
          <cell r="L6">
            <v>45905</v>
          </cell>
        </row>
        <row r="7">
          <cell r="C7" t="str">
            <v>spotify:track:3ZbetlcfZ0tgVWdvnRzuLB</v>
          </cell>
          <cell r="L7">
            <v>45851</v>
          </cell>
        </row>
        <row r="8">
          <cell r="C8" t="str">
            <v>spotify:track:3cwVKjzKSTfvacYJF6Tkub</v>
          </cell>
          <cell r="L8">
            <v>45652</v>
          </cell>
        </row>
        <row r="9">
          <cell r="C9" t="str">
            <v>spotify:track:2V6SUJCtrva6qToZjphMwO</v>
          </cell>
          <cell r="L9">
            <v>45897</v>
          </cell>
        </row>
        <row r="10">
          <cell r="C10" t="str">
            <v>spotify:track:6LsZx8Hv0GOGNinPva72nr</v>
          </cell>
          <cell r="L10">
            <v>45892</v>
          </cell>
        </row>
        <row r="11">
          <cell r="C11" t="str">
            <v>spotify:track:5Es0BIBKcoNlgcVYuFnzP4</v>
          </cell>
          <cell r="L11">
            <v>45902</v>
          </cell>
        </row>
        <row r="12">
          <cell r="C12" t="str">
            <v>spotify:track:0FU8RrGKFoWsel6fdEa82k</v>
          </cell>
          <cell r="L12">
            <v>45902</v>
          </cell>
        </row>
        <row r="13">
          <cell r="C13" t="str">
            <v>spotify:track:7pzD7EudQxP4EhT5UeQjc7</v>
          </cell>
          <cell r="L13">
            <v>45905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asil___Top_Songs_Weekly"/>
      <sheetName val="Brasil___Top_Artists_Weekly"/>
      <sheetName val="Brasil___Top_Albums_Weekly"/>
    </sheetNames>
    <sheetDataSet>
      <sheetData sheetId="0">
        <row r="1">
          <cell r="C1" t="str">
            <v>uri</v>
          </cell>
          <cell r="K1" t="str">
            <v>Data</v>
          </cell>
        </row>
        <row r="2">
          <cell r="C2" t="str">
            <v>spotify:track:2GylVVMD21R4SqgAt8gGC5</v>
          </cell>
          <cell r="K2">
            <v>45876</v>
          </cell>
        </row>
        <row r="3">
          <cell r="C3" t="str">
            <v>spotify:track:5dcOxj5o672WzZCc7OOUkX</v>
          </cell>
          <cell r="K3">
            <v>45883</v>
          </cell>
        </row>
        <row r="4">
          <cell r="C4" t="str">
            <v>spotify:track:3ZbetlcfZ0tgVWdvnRzuLB</v>
          </cell>
          <cell r="K4">
            <v>45848</v>
          </cell>
        </row>
        <row r="5">
          <cell r="C5" t="str">
            <v>spotify:track:280QfKhmWGn3LbyB39aA7u</v>
          </cell>
          <cell r="K5">
            <v>45673</v>
          </cell>
        </row>
        <row r="6">
          <cell r="C6" t="str">
            <v>spotify:track:3cwVKjzKSTfvacYJF6Tkub</v>
          </cell>
          <cell r="K6">
            <v>45596</v>
          </cell>
        </row>
        <row r="7">
          <cell r="C7" t="str">
            <v>spotify:track:0wuxPTUfoJ3ewswrO1oj0l</v>
          </cell>
          <cell r="K7">
            <v>45876</v>
          </cell>
        </row>
        <row r="8">
          <cell r="C8" t="str">
            <v>spotify:track:5btDKzAsFh975NSWxwBHRc</v>
          </cell>
          <cell r="K8">
            <v>45050</v>
          </cell>
        </row>
        <row r="9">
          <cell r="C9" t="str">
            <v>spotify:track:6p6ohOKSzL4JaIRzSeOmWx</v>
          </cell>
          <cell r="K9">
            <v>45085</v>
          </cell>
        </row>
        <row r="10">
          <cell r="C10" t="str">
            <v>spotify:track:27aB79hb7blx7BSAP4xzH2</v>
          </cell>
          <cell r="K10">
            <v>45883</v>
          </cell>
        </row>
        <row r="11">
          <cell r="C11" t="str">
            <v>spotify:track:3XqhtjiycwDxCpGqUFTtlW</v>
          </cell>
          <cell r="K11">
            <v>45659</v>
          </cell>
        </row>
      </sheetData>
      <sheetData sheetId="1"/>
      <sheetData sheetId="2">
        <row r="1">
          <cell r="C1" t="str">
            <v>uri</v>
          </cell>
          <cell r="J1" t="str">
            <v>Data Pico</v>
          </cell>
        </row>
        <row r="2">
          <cell r="C2" t="str">
            <v>spotify:album:00kVv1eVa8WDdhUrGg9yAW</v>
          </cell>
          <cell r="J2">
            <v>45876</v>
          </cell>
        </row>
        <row r="3">
          <cell r="C3" t="str">
            <v>spotify:album:4RjOODnT7VzuwMJQk7apEG</v>
          </cell>
          <cell r="J3">
            <v>45624</v>
          </cell>
        </row>
        <row r="4">
          <cell r="C4" t="str">
            <v>spotify:album:2d16MsbSMtv2snzc2FPwsg</v>
          </cell>
          <cell r="J4">
            <v>45841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Youtube___Daily_Videos"/>
      <sheetName val="Youtube___Daily_Shorts"/>
      <sheetName val="Youtube___Weekly_Music"/>
      <sheetName val="Youtube___Weekly_Artists"/>
    </sheetNames>
    <sheetDataSet>
      <sheetData sheetId="0">
        <row r="1">
          <cell r="C1" t="str">
            <v>YouTube URL</v>
          </cell>
          <cell r="F1" t="str">
            <v>peak_rank</v>
          </cell>
          <cell r="I1" t="str">
            <v>Data Pico</v>
          </cell>
        </row>
        <row r="2">
          <cell r="C2" t="str">
            <v>https://www.youtube.com/watch?v=iYjz1Ap1VvU</v>
          </cell>
          <cell r="F2">
            <v>5</v>
          </cell>
          <cell r="I2">
            <v>45905</v>
          </cell>
        </row>
        <row r="3">
          <cell r="C3" t="str">
            <v>https://www.youtube.com/watch?v=tvPSPkugS7A</v>
          </cell>
          <cell r="F3">
            <v>2</v>
          </cell>
          <cell r="I3">
            <v>45871</v>
          </cell>
        </row>
        <row r="4">
          <cell r="C4" t="str">
            <v>https://www.youtube.com/watch?v=OJYWaEWYAfo</v>
          </cell>
          <cell r="F4">
            <v>5</v>
          </cell>
          <cell r="I4">
            <v>45873</v>
          </cell>
        </row>
        <row r="5">
          <cell r="C5" t="str">
            <v>https://www.youtube.com/watch?v=F0rxQmQiPZw</v>
          </cell>
          <cell r="F5">
            <v>17</v>
          </cell>
          <cell r="I5">
            <v>45666</v>
          </cell>
        </row>
        <row r="6">
          <cell r="C6" t="str">
            <v>https://www.youtube.com/watch?v=tSKMmYjzsck</v>
          </cell>
          <cell r="F6">
            <v>63</v>
          </cell>
          <cell r="I6">
            <v>45905</v>
          </cell>
        </row>
        <row r="7">
          <cell r="C7" t="str">
            <v>https://www.youtube.com/watch?v=RMklSRQdm9Q</v>
          </cell>
          <cell r="F7">
            <v>10</v>
          </cell>
          <cell r="I7">
            <v>45772</v>
          </cell>
        </row>
        <row r="8">
          <cell r="C8" t="str">
            <v>https://www.youtube.com/watch?v=-WloA4ia7aI</v>
          </cell>
          <cell r="F8">
            <v>51</v>
          </cell>
          <cell r="I8">
            <v>45879</v>
          </cell>
        </row>
        <row r="9">
          <cell r="C9" t="str">
            <v>https://www.youtube.com/watch?v=--aeM6QtwD4</v>
          </cell>
          <cell r="F9" t="str">
            <v>-</v>
          </cell>
          <cell r="I9">
            <v>45905</v>
          </cell>
        </row>
      </sheetData>
      <sheetData sheetId="1">
        <row r="1">
          <cell r="C1" t="str">
            <v>YouTube URL</v>
          </cell>
          <cell r="F1" t="str">
            <v>Peak Rank</v>
          </cell>
          <cell r="I1" t="str">
            <v>Data Pico</v>
          </cell>
        </row>
        <row r="2">
          <cell r="C2" t="str">
            <v>https://www.youtube.com/watch?v=OJYWaEWYAfo</v>
          </cell>
          <cell r="F2">
            <v>1</v>
          </cell>
          <cell r="I2">
            <v>45886</v>
          </cell>
        </row>
        <row r="3">
          <cell r="C3" t="str">
            <v>https://www.youtube.com/watch?v=O8HcubSr9PA</v>
          </cell>
          <cell r="F3">
            <v>1</v>
          </cell>
          <cell r="I3">
            <v>45884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8" xr16:uid="{EA287AF5-7447-4D0E-ACEF-4EF0A6E8D0C7}" autoFormatId="16" applyNumberFormats="0" applyBorderFormats="0" applyFontFormats="0" applyPatternFormats="0" applyAlignmentFormats="0" applyWidthHeightFormats="0">
  <queryTableRefresh nextId="15" unboundColumnsRight="2">
    <queryTableFields count="11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name="streams" tableColumnId="9"/>
      <queryTableField id="14" dataBound="0" tableColumnId="10"/>
      <queryTableField id="11" dataBound="0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6AA02911-7ED6-4AB0-A665-71AFE9F70355}" autoFormatId="16" applyNumberFormats="0" applyBorderFormats="0" applyFontFormats="0" applyPatternFormats="0" applyAlignmentFormats="0" applyWidthHeightFormats="0">
  <queryTableRefresh nextId="8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days_on_chart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AD66BCE1-12E2-4E0C-BAEB-CC33801EF447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dataBound="0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4" xr16:uid="{11456E79-A0E2-4F04-BB10-5AC8A1012AA0}" autoFormatId="16" applyNumberFormats="0" applyBorderFormats="0" applyFontFormats="0" applyPatternFormats="0" applyAlignmentFormats="0" applyWidthHeightFormats="0">
  <queryTableRefresh nextId="10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name="streams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2" xr16:uid="{B48CFFE3-89CE-4BCF-A0B5-BD5E4DCAF0C9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days_on_chart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6" xr16:uid="{DBF9420F-BD4C-41F7-BF19-ABF07989F3D4}" autoFormatId="16" applyNumberFormats="0" applyBorderFormats="0" applyFontFormats="0" applyPatternFormats="0" applyAlignmentFormats="0" applyWidthHeightFormats="0">
  <queryTableRefresh nextId="9">
    <queryTableFields count="8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5CFEA42D-6E94-4D1B-931C-E1E92245A6A9}" autoFormatId="16" applyNumberFormats="0" applyBorderFormats="0" applyFontFormats="0" applyPatternFormats="0" applyAlignmentFormats="0" applyWidthHeightFormats="0">
  <queryTableRefresh nextId="10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name="streams" tableColumnId="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F76D8A76-EB91-47F3-85B7-5E0E972765BF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weeks_on_chart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1" xr16:uid="{1D80CEA5-06B2-4388-AE75-19769D64C68F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rank" tableColumnId="1"/>
      <queryTableField id="2" name="uri" tableColumnId="2"/>
      <queryTableField id="3" name="artist_names" tableColumnId="3"/>
      <queryTableField id="4" name="album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dataBound="0" tableColumnId="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83B80C52-6C5A-460C-B269-4FD6AB272BB1}" autoFormatId="16" applyNumberFormats="0" applyBorderFormats="0" applyFontFormats="0" applyPatternFormats="0" applyAlignmentFormats="0" applyWidthHeightFormats="0">
  <queryTableRefresh nextId="11" unboundColumnsRight="1">
    <queryTableFields count="10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name="streams" tableColumnId="9"/>
      <queryTableField id="10" dataBound="0" tableColumnId="1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9A726974-B3E8-4C85-B008-DB1013913794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weeks_on_chart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BC64038D-90EB-46DB-83E1-128504518C4C}" autoFormatId="16" applyNumberFormats="0" applyBorderFormats="0" applyFontFormats="0" applyPatternFormats="0" applyAlignmentFormats="0" applyWidthHeightFormats="0">
  <queryTableRefresh nextId="9">
    <queryTableFields count="8">
      <queryTableField id="1" name="rank" tableColumnId="1"/>
      <queryTableField id="2" name="uri" tableColumnId="2"/>
      <queryTableField id="3" name="artist_names" tableColumnId="3"/>
      <queryTableField id="4" name="album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0" xr16:uid="{9F6843EE-A9D7-49E6-B1C4-4F1FF65CA50B}" autoFormatId="16" applyNumberFormats="0" applyBorderFormats="0" applyFontFormats="0" applyPatternFormats="0" applyAlignmentFormats="0" applyWidthHeightFormats="0">
  <queryTableRefresh nextId="11">
    <queryTableFields count="9">
      <queryTableField id="1" name="Classificação" tableColumnId="1"/>
      <queryTableField id="2" name="Link Externo" tableColumnId="2"/>
      <queryTableField id="3" name="Artistas" tableColumnId="3"/>
      <queryTableField id="4" name="Faixa" tableColumnId="4"/>
      <queryTableField id="5" name="Gravadora" tableColumnId="5"/>
      <queryTableField id="6" name="Posição de Pico" tableColumnId="6"/>
      <queryTableField id="10" dataBound="0" tableColumnId="7"/>
      <queryTableField id="8" name="Dias na Tabela" tableColumnId="8"/>
      <queryTableField id="9" name="Data de Pico" tableColumnId="9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20" xr16:uid="{8A68E9CC-C6DB-47D2-85EA-8EACFBB928BB}" autoFormatId="16" applyNumberFormats="0" applyBorderFormats="0" applyFontFormats="0" applyPatternFormats="0" applyAlignmentFormats="0" applyWidthHeightFormats="0">
  <queryTableRefresh nextId="11">
    <queryTableFields count="10">
      <queryTableField id="1" name="Data" tableColumnId="1"/>
      <queryTableField id="2" name="Classificação" tableColumnId="2"/>
      <queryTableField id="3" name="Link Externo" tableColumnId="3"/>
      <queryTableField id="4" name="Artistas" tableColumnId="4"/>
      <queryTableField id="5" name="Faixa" tableColumnId="5"/>
      <queryTableField id="6" name="Gravadora" tableColumnId="6"/>
      <queryTableField id="7" name="Posição de Pico" tableColumnId="7"/>
      <queryTableField id="8" name="Previous Rank" tableColumnId="8"/>
      <queryTableField id="9" name="Dias na Tabela" tableColumnId="9"/>
      <queryTableField id="10" name="Data de Pico" tableColumnId="10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2" xr16:uid="{DAC2B880-666F-4AED-91CB-6B3DC0BA0488}" autoFormatId="16" applyNumberFormats="0" applyBorderFormats="0" applyFontFormats="0" applyPatternFormats="0" applyAlignmentFormats="0" applyWidthHeightFormats="0">
  <queryTableRefresh nextId="10">
    <queryTableFields count="9">
      <queryTableField id="1" name="Classificação" tableColumnId="1"/>
      <queryTableField id="2" name="Link Externo" tableColumnId="2"/>
      <queryTableField id="3" name="Artistas" tableColumnId="3"/>
      <queryTableField id="4" name="Faixa" tableColumnId="4"/>
      <queryTableField id="5" name="Gravadora" tableColumnId="5"/>
      <queryTableField id="6" name="Posição de Pico" tableColumnId="6"/>
      <queryTableField id="9" dataBound="0" tableColumnId="9"/>
      <queryTableField id="7" name="Dias na Tabela" tableColumnId="7"/>
      <queryTableField id="8" name="Data de Pico" tableColumnId="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19" xr16:uid="{525E9CC8-595B-4E7A-884C-8FA9574E14A4}" autoFormatId="16" applyNumberFormats="0" applyBorderFormats="0" applyFontFormats="0" applyPatternFormats="0" applyAlignmentFormats="0" applyWidthHeightFormats="0">
  <queryTableRefresh nextId="13">
    <queryTableFields count="10">
      <queryTableField id="1" name="Data" tableColumnId="1"/>
      <queryTableField id="2" name="Classificação" tableColumnId="2"/>
      <queryTableField id="3" name="Link Externo" tableColumnId="3"/>
      <queryTableField id="4" name="Artistas" tableColumnId="4"/>
      <queryTableField id="5" name="Faixa" tableColumnId="5"/>
      <queryTableField id="6" name="Gravadora" tableColumnId="6"/>
      <queryTableField id="7" name="Posição de Pico" tableColumnId="7"/>
      <queryTableField id="11" name="Previous Rank" tableColumnId="8"/>
      <queryTableField id="9" name="Dias na Tabela" tableColumnId="9"/>
      <queryTableField id="10" name="Data de Pico" tableColumnId="10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BD94084-6C6B-4CFB-BD46-0363BA3A80B4}" autoFormatId="16" applyNumberFormats="0" applyBorderFormats="0" applyFontFormats="0" applyPatternFormats="0" applyAlignmentFormats="0" applyWidthHeightFormats="0">
  <queryTableRefresh nextId="21" unboundColumnsRight="2">
    <queryTableFields count="10">
      <queryTableField id="1" name="Classificação" tableColumnId="1"/>
      <queryTableField id="6" name="Link Externo" tableColumnId="6"/>
      <queryTableField id="4" name="Artista" tableColumnId="4"/>
      <queryTableField id="3" name="Faixa" tableColumnId="3"/>
      <queryTableField id="8" name="Gravadora" tableColumnId="8"/>
      <queryTableField id="18" dataBound="0" tableColumnId="16"/>
      <queryTableField id="17" dataBound="0" tableColumnId="15"/>
      <queryTableField id="13" name="Dias na Tabela" tableColumnId="13"/>
      <queryTableField id="19" dataBound="0" tableColumnId="17"/>
      <queryTableField id="20" dataBound="0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8" xr16:uid="{8A2F7D43-1808-4D7A-ABD5-0E42C2AB0CAA}" autoFormatId="16" applyNumberFormats="0" applyBorderFormats="0" applyFontFormats="0" applyPatternFormats="0" applyAlignmentFormats="0" applyWidthHeightFormats="0">
  <queryTableRefresh nextId="12">
    <queryTableFields count="11">
      <queryTableField id="1" name="Data" tableColumnId="1"/>
      <queryTableField id="2" name="Classificação" tableColumnId="2"/>
      <queryTableField id="3" name="Link Externo" tableColumnId="3"/>
      <queryTableField id="4" name="Artista" tableColumnId="4"/>
      <queryTableField id="5" name="Faixa" tableColumnId="5"/>
      <queryTableField id="6" name="Gravadora" tableColumnId="6"/>
      <queryTableField id="7" name="Piak Rank" tableColumnId="7"/>
      <queryTableField id="8" name="Previous Rank" tableColumnId="8"/>
      <queryTableField id="9" name="Dias na Tabela" tableColumnId="9"/>
      <queryTableField id="10" name="Data Pico" tableColumnId="10"/>
      <queryTableField id="11" name="cond" tableColumnId="1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3" xr16:uid="{31265652-388E-46F7-A4D3-B77F2470CCC7}" autoFormatId="16" applyNumberFormats="0" applyBorderFormats="0" applyFontFormats="0" applyPatternFormats="0" applyAlignmentFormats="0" applyWidthHeightFormats="0">
  <queryTableRefresh nextId="14" unboundColumnsRight="1">
    <queryTableFields count="8">
      <queryTableField id="1" name="Rank" tableColumnId="1"/>
      <queryTableField id="2" name="YouTube URL" tableColumnId="2"/>
      <queryTableField id="10" name="Artista" tableColumnId="3"/>
      <queryTableField id="4" name="Video Title" tableColumnId="4"/>
      <queryTableField id="13" dataBound="0" tableColumnId="7"/>
      <queryTableField id="5" name="Previous Rank" tableColumnId="5"/>
      <queryTableField id="6" name="Periods on Chart" tableColumnId="6"/>
      <queryTableField id="8" dataBound="0" tableColumnId="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4" xr16:uid="{715A3F0B-379C-4022-A603-AD6EADF50E40}" autoFormatId="16" applyNumberFormats="0" applyBorderFormats="0" applyFontFormats="0" applyPatternFormats="0" applyAlignmentFormats="0" applyWidthHeightFormats="0">
  <queryTableRefresh nextId="11" unboundColumnsRight="1">
    <queryTableFields count="8">
      <queryTableField id="1" name="Rank" tableColumnId="1"/>
      <queryTableField id="2" name="YouTube URL" tableColumnId="2"/>
      <queryTableField id="3" name="Artista" tableColumnId="3"/>
      <queryTableField id="7" name="Track Name" tableColumnId="7"/>
      <queryTableField id="9" dataBound="0" tableColumnId="8"/>
      <queryTableField id="5" name="Previous Rank" tableColumnId="5"/>
      <queryTableField id="6" name="Periods on Chart" tableColumnId="6"/>
      <queryTableField id="10" dataBound="0" tableColumnId="9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5" xr16:uid="{9DDDCE86-C43F-4EA8-856B-4EDCAD2CA680}" autoFormatId="16" applyNumberFormats="0" applyBorderFormats="0" applyFontFormats="0" applyPatternFormats="0" applyAlignmentFormats="0" applyWidthHeightFormats="0">
  <queryTableRefresh nextId="17">
    <queryTableFields count="8">
      <queryTableField id="1" name="Classificação" tableColumnId="1"/>
      <queryTableField id="5" name="Link Externo" tableColumnId="5"/>
      <queryTableField id="3" name="Artista" tableColumnId="3"/>
      <queryTableField id="7" name="Posição de Pico" tableColumnId="7"/>
      <queryTableField id="2" name="Alteração" tableColumnId="2"/>
      <queryTableField id="10" name="Semanas na Tabela" tableColumnId="10"/>
      <queryTableField id="11" name="Visualizações" tableColumnId="11"/>
      <queryTableField id="8" name="Data de Pico" tableColumnId="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6" xr16:uid="{21F1013F-E09D-4DBD-BFB7-56F5423DA60A}" autoFormatId="16" applyNumberFormats="0" applyBorderFormats="0" applyFontFormats="0" applyPatternFormats="0" applyAlignmentFormats="0" applyWidthHeightFormats="0">
  <queryTableRefresh nextId="21">
    <queryTableFields count="9">
      <queryTableField id="1" name="Classificação" tableColumnId="1"/>
      <queryTableField id="6" name="Link Externo" tableColumnId="6"/>
      <queryTableField id="4" name="Artistas" tableColumnId="4"/>
      <queryTableField id="3" name="Faixa" tableColumnId="3"/>
      <queryTableField id="9" name="Posição de Pico" tableColumnId="9"/>
      <queryTableField id="2" name="Alteração" tableColumnId="2"/>
      <queryTableField id="14" name="Visualizações" tableColumnId="14"/>
      <queryTableField id="12" name="Semanas na Tabela" tableColumnId="12"/>
      <queryTableField id="10" name="Data de Pico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02B61D-7166-4459-B669-B2B9A1F44312}" name="Daily_Top_Songs_Br" displayName="Daily_Top_Songs_Br" ref="A1:K201" tableType="queryTable" totalsRowShown="0">
  <tableColumns count="11">
    <tableColumn id="1" xr3:uid="{7CB573D5-CCC0-48B8-A8C2-A358E07C4A44}" uniqueName="1" name="rank" queryTableFieldId="1"/>
    <tableColumn id="2" xr3:uid="{1C527DBF-E76F-4410-AD2D-00C91B6BA87D}" uniqueName="2" name="uri" queryTableFieldId="2" dataDxfId="101"/>
    <tableColumn id="3" xr3:uid="{CC9819BD-6A09-4EB8-8EB7-57AF1FD502DB}" uniqueName="3" name="artist_names" queryTableFieldId="3" dataDxfId="100"/>
    <tableColumn id="4" xr3:uid="{E5637CC2-B32F-4B7E-8C31-EDEA7B7A1A8C}" uniqueName="4" name="track_name" queryTableFieldId="4" dataDxfId="99"/>
    <tableColumn id="5" xr3:uid="{0789B23B-8A05-4690-BFB6-42BC3D12AE7E}" uniqueName="5" name="source" queryTableFieldId="5" dataDxfId="98"/>
    <tableColumn id="6" xr3:uid="{6E219999-5DE7-46D9-AF9E-51EFBF7C60B8}" uniqueName="6" name="peak_rank" queryTableFieldId="6"/>
    <tableColumn id="7" xr3:uid="{659DA7DA-7F83-4E1C-90A7-DD9C51B097FB}" uniqueName="7" name="previous_rank" queryTableFieldId="7"/>
    <tableColumn id="8" xr3:uid="{2483192B-A2C9-47D7-81B2-64FB6DDF83AB}" uniqueName="8" name="days_on_chart" queryTableFieldId="8"/>
    <tableColumn id="9" xr3:uid="{C4F1D969-EA4D-405F-B51E-12968777CF90}" uniqueName="9" name="streams" queryTableFieldId="9"/>
    <tableColumn id="10" xr3:uid="{4D3133DE-0996-4240-B266-C4D4CF2E473B}" uniqueName="10" name="Corte Chart" queryTableFieldId="14" dataDxfId="97">
      <calculatedColumnFormula>IFERROR(MIN(I:I),"-")</calculatedColumnFormula>
    </tableColumn>
    <tableColumn id="11" xr3:uid="{7E8F68C7-20E5-4C62-B035-9543A0B02DF8}" uniqueName="11" name="Data de Pico" queryTableFieldId="11" dataDxfId="96">
      <calculatedColumnFormula>IFERROR(IF(Daily_Top_Songs_Br[[#This Row],[peak_rank]]&lt;Daily_Top_Songs_Br[[#This Row],[rank]],INDEX([1]Brasil___Top_Songs_Daily!$L:$L,MATCH(Daily_Top_Songs_Br[[#This Row],[uri]],[1]Brasil___Top_Songs_Daily!$C:$C,0),1),TODAY()-1),"-")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678893-CD64-462E-84EE-82CDA35811DC}" name="Daile_Top_Artists_Br" displayName="Daile_Top_Artists_Br" ref="A1:F201" tableType="queryTable" totalsRowShown="0">
  <autoFilter ref="A1:F201" xr:uid="{56678893-CD64-462E-84EE-82CDA35811DC}"/>
  <tableColumns count="6">
    <tableColumn id="1" xr3:uid="{5002C230-3CF9-43E5-BFA8-08604F162FE4}" uniqueName="1" name="rank" queryTableFieldId="1"/>
    <tableColumn id="2" xr3:uid="{1DC2C9C8-4185-4C42-A115-EF4045C9B52B}" uniqueName="2" name="uri" queryTableFieldId="2" dataDxfId="95"/>
    <tableColumn id="3" xr3:uid="{D71933C8-7EF9-4EE3-9B79-7728EF409577}" uniqueName="3" name="artist_name" queryTableFieldId="3" dataDxfId="94"/>
    <tableColumn id="4" xr3:uid="{EBEB5CF2-F5CF-4A1A-AEC6-09FA133FC620}" uniqueName="4" name="peak_rank" queryTableFieldId="4"/>
    <tableColumn id="5" xr3:uid="{8B2AF22E-62DC-4EEE-80FC-833C0D602732}" uniqueName="5" name="previous_rank" queryTableFieldId="5"/>
    <tableColumn id="6" xr3:uid="{E95031B8-67C8-41A1-AE90-FB2D735F3352}" uniqueName="6" name="days_on_chart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65CB3A3-A45E-40D8-B2BF-57ACD081434D}" name="Daily_Top_Viral_Br" displayName="Daily_Top_Viral_Br" ref="A1:I101" tableType="queryTable" totalsRowShown="0">
  <autoFilter ref="A1:I101" xr:uid="{065CB3A3-A45E-40D8-B2BF-57ACD081434D}"/>
  <tableColumns count="9">
    <tableColumn id="1" xr3:uid="{2D0312A5-E90E-4C67-8F29-779D513C10E2}" uniqueName="1" name="rank" queryTableFieldId="1"/>
    <tableColumn id="2" xr3:uid="{7BE86418-1F9A-402E-810A-99E6D05C505E}" uniqueName="2" name="uri" queryTableFieldId="2" dataDxfId="93"/>
    <tableColumn id="3" xr3:uid="{8676AC87-169C-4713-BB72-6B5FDF974064}" uniqueName="3" name="artist_names" queryTableFieldId="3" dataDxfId="92"/>
    <tableColumn id="4" xr3:uid="{A14BD48F-C9D3-4F05-9586-799E8EED00A1}" uniqueName="4" name="track_name" queryTableFieldId="4" dataDxfId="91"/>
    <tableColumn id="5" xr3:uid="{89AD783C-67A8-4B6F-AC44-F178B716A9AB}" uniqueName="5" name="source" queryTableFieldId="5" dataDxfId="90"/>
    <tableColumn id="6" xr3:uid="{4097AED5-67B7-4459-B21B-0AF53C9E4936}" uniqueName="6" name="peak_rank" queryTableFieldId="6"/>
    <tableColumn id="7" xr3:uid="{D210ECE8-81F2-4DD9-9F84-70F72E02EFF3}" uniqueName="7" name="previous_rank" queryTableFieldId="7"/>
    <tableColumn id="8" xr3:uid="{8D95FD59-CA48-4774-AC03-8D2865DACD18}" uniqueName="8" name="days_on_chart" queryTableFieldId="8"/>
    <tableColumn id="9" xr3:uid="{95690493-9595-414C-96E1-C41AFAC1218B}" uniqueName="9" name="Data Pico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060855-45E2-4956-8B49-293E29CE65E4}" name="Global___Top_Songs_Daily" displayName="Global___Top_Songs_Daily" ref="A1:I201" tableType="queryTable" totalsRowShown="0">
  <autoFilter ref="A1:I201" xr:uid="{48060855-45E2-4956-8B49-293E29CE65E4}"/>
  <tableColumns count="9">
    <tableColumn id="1" xr3:uid="{A1BA6F97-8C45-4FC8-A604-405FCF93B9CA}" uniqueName="1" name="rank" queryTableFieldId="1"/>
    <tableColumn id="2" xr3:uid="{C17A383C-ABE5-485D-8269-DAD2CDE84A45}" uniqueName="2" name="uri" queryTableFieldId="2" dataDxfId="89"/>
    <tableColumn id="3" xr3:uid="{B73871F8-F955-43B5-820B-3F6C81A5236A}" uniqueName="3" name="artist_names" queryTableFieldId="3" dataDxfId="88"/>
    <tableColumn id="4" xr3:uid="{84683C51-CA6E-4292-8235-ECBDD300FE6F}" uniqueName="4" name="track_name" queryTableFieldId="4"/>
    <tableColumn id="5" xr3:uid="{1375A509-DFC5-4B53-B7C7-7D1E4B1D4B07}" uniqueName="5" name="source" queryTableFieldId="5" dataDxfId="87"/>
    <tableColumn id="6" xr3:uid="{19F7E677-8A2B-48B0-AFB4-8C493A67DEFA}" uniqueName="6" name="peak_rank" queryTableFieldId="6"/>
    <tableColumn id="7" xr3:uid="{9B345D70-D63A-42DE-97A0-8598EC8FEDD2}" uniqueName="7" name="previous_rank" queryTableFieldId="7"/>
    <tableColumn id="8" xr3:uid="{C2ABF70A-7311-47BA-927B-6B63EF37FF0B}" uniqueName="8" name="days_on_chart" queryTableFieldId="8"/>
    <tableColumn id="9" xr3:uid="{2D5B3900-EC88-4374-B459-EFE656E5D76D}" uniqueName="9" name="streams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D99E6D-A4B1-4F5E-BF7F-574209A17C4A}" name="Global___Top_Artists_Daily" displayName="Global___Top_Artists_Daily" ref="A1:F201" tableType="queryTable" totalsRowShown="0">
  <autoFilter ref="A1:F201" xr:uid="{A3D99E6D-A4B1-4F5E-BF7F-574209A17C4A}"/>
  <tableColumns count="6">
    <tableColumn id="1" xr3:uid="{C81E5E33-BA15-4E8C-A345-C6E654B26B00}" uniqueName="1" name="rank" queryTableFieldId="1"/>
    <tableColumn id="2" xr3:uid="{DE9F0A26-3C0F-4076-BA2C-683B63E13799}" uniqueName="2" name="uri" queryTableFieldId="2" dataDxfId="86"/>
    <tableColumn id="3" xr3:uid="{8C75B65A-DC46-4FD7-92BF-75DE56F8C200}" uniqueName="3" name="artist_name" queryTableFieldId="3" dataDxfId="85"/>
    <tableColumn id="4" xr3:uid="{A5DE2A83-E3E9-4C1E-B17D-EEF1BFDC32B4}" uniqueName="4" name="peak_rank" queryTableFieldId="4"/>
    <tableColumn id="5" xr3:uid="{5762DB3C-A219-4E0A-86CB-2E78EF666CDB}" uniqueName="5" name="previous_rank" queryTableFieldId="5"/>
    <tableColumn id="6" xr3:uid="{3FB47BB8-EE0B-4758-BD6E-F1B4EFA666B4}" uniqueName="6" name="days_on_chart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291D2C-660C-4116-B2F5-0207F9A18521}" name="Global___Top_Viral_Daily" displayName="Global___Top_Viral_Daily" ref="A1:H101" tableType="queryTable" totalsRowShown="0">
  <autoFilter ref="A1:H101" xr:uid="{87291D2C-660C-4116-B2F5-0207F9A18521}"/>
  <tableColumns count="8">
    <tableColumn id="1" xr3:uid="{B4BE9A85-BDEE-40DA-833B-68F70100B42E}" uniqueName="1" name="rank" queryTableFieldId="1"/>
    <tableColumn id="2" xr3:uid="{47BEB919-4642-4F01-8E0D-F4A6FE8FE893}" uniqueName="2" name="uri" queryTableFieldId="2" dataDxfId="84"/>
    <tableColumn id="3" xr3:uid="{D29A8671-A34D-4B7D-B6D3-9A509BC907AE}" uniqueName="3" name="artist_names" queryTableFieldId="3" dataDxfId="83"/>
    <tableColumn id="4" xr3:uid="{9C60276B-BB51-435F-B65D-EC2EF655DAA9}" uniqueName="4" name="track_name" queryTableFieldId="4"/>
    <tableColumn id="5" xr3:uid="{1DBBD50C-A139-4EEB-97B5-786B69363306}" uniqueName="5" name="source" queryTableFieldId="5" dataDxfId="82"/>
    <tableColumn id="6" xr3:uid="{04A67337-68B4-4B4F-BC09-2CF7F0DF4F0A}" uniqueName="6" name="peak_rank" queryTableFieldId="6"/>
    <tableColumn id="7" xr3:uid="{4135D7A8-2DB0-4988-8CB5-E57AD9D1FA0F}" uniqueName="7" name="previous_rank" queryTableFieldId="7"/>
    <tableColumn id="8" xr3:uid="{546C939E-EAE0-43DC-9212-3E8109B3A037}" uniqueName="8" name="days_on_chart" queryTableFieldId="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E6DFFB3-9A8D-4091-AED8-B680709E5E62}" name="Global___Top_Songs_Weekly" displayName="Global___Top_Songs_Weekly" ref="A1:I201" tableType="queryTable" totalsRowShown="0">
  <autoFilter ref="A1:I201" xr:uid="{BE6DFFB3-9A8D-4091-AED8-B680709E5E62}"/>
  <tableColumns count="9">
    <tableColumn id="1" xr3:uid="{AEBCF8AE-3AA8-4B3B-BEC6-CB69E1CE8CEE}" uniqueName="1" name="rank" queryTableFieldId="1"/>
    <tableColumn id="2" xr3:uid="{FCB2923D-84DF-40DA-A0A0-E397505E144B}" uniqueName="2" name="uri" queryTableFieldId="2" dataDxfId="81"/>
    <tableColumn id="3" xr3:uid="{38CDE637-33F8-471B-B100-A30F73D1D76E}" uniqueName="3" name="artist_names" queryTableFieldId="3" dataDxfId="80"/>
    <tableColumn id="4" xr3:uid="{A6DC243C-F820-4B3B-930C-A0B9445104E1}" uniqueName="4" name="track_name" queryTableFieldId="4"/>
    <tableColumn id="5" xr3:uid="{BBF7A4BB-1DCC-4B16-97BB-F80431C09097}" uniqueName="5" name="source" queryTableFieldId="5" dataDxfId="79"/>
    <tableColumn id="6" xr3:uid="{71144048-8314-4099-AE27-F2CF4B3D4958}" uniqueName="6" name="peak_rank" queryTableFieldId="6"/>
    <tableColumn id="7" xr3:uid="{FB7A704B-0596-486C-9928-AE98EBD60BC9}" uniqueName="7" name="previous_rank" queryTableFieldId="7"/>
    <tableColumn id="8" xr3:uid="{DD6EA9A9-BA6A-4407-BC6D-97092B9E5728}" uniqueName="8" name="weeks_on_chart" queryTableFieldId="8"/>
    <tableColumn id="9" xr3:uid="{7C35F45F-AA64-4CAD-84C7-4B0D97DCD4E9}" uniqueName="9" name="streams" queryTableField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9EAFAE-33B8-4BDD-B335-D0007A7D0D04}" name="Global___Top_Artists_Weekly" displayName="Global___Top_Artists_Weekly" ref="A1:F201" tableType="queryTable" totalsRowShown="0">
  <autoFilter ref="A1:F201" xr:uid="{729EAFAE-33B8-4BDD-B335-D0007A7D0D04}"/>
  <tableColumns count="6">
    <tableColumn id="1" xr3:uid="{ECEC1EF0-D4F5-43DC-B41D-C94E572376CF}" uniqueName="1" name="rank" queryTableFieldId="1"/>
    <tableColumn id="2" xr3:uid="{07F24D2A-BA7F-49F5-94B6-851FA263C20D}" uniqueName="2" name="uri" queryTableFieldId="2" dataDxfId="78"/>
    <tableColumn id="3" xr3:uid="{BEEB20D5-66DF-4407-A350-2EA22DB1E399}" uniqueName="3" name="artist_name" queryTableFieldId="3" dataDxfId="77"/>
    <tableColumn id="4" xr3:uid="{8BCB63C3-8F93-45AD-9A22-A345E2929C35}" uniqueName="4" name="peak_rank" queryTableFieldId="4"/>
    <tableColumn id="5" xr3:uid="{50C5278E-2978-4103-9419-4798C956322D}" uniqueName="5" name="previous_rank" queryTableFieldId="5"/>
    <tableColumn id="6" xr3:uid="{C3AAD104-669B-49B4-B2AE-609777182032}" uniqueName="6" name="weeks_on_chart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576182D-9005-4DDD-B6FB-E329F98C527F}" name="Global___Top_Album_Weekly" displayName="Global___Top_Album_Weekly" ref="A1:I201" tableType="queryTable" totalsRowShown="0">
  <autoFilter ref="A1:I201" xr:uid="{7576182D-9005-4DDD-B6FB-E329F98C527F}"/>
  <tableColumns count="9">
    <tableColumn id="1" xr3:uid="{8FFA6BC6-DC1E-4509-BF97-8C160D3C548F}" uniqueName="1" name="rank" queryTableFieldId="1"/>
    <tableColumn id="2" xr3:uid="{B50AA6B6-0979-4584-BB5F-AA78A04475B6}" uniqueName="2" name="uri" queryTableFieldId="2" dataDxfId="76"/>
    <tableColumn id="3" xr3:uid="{EB209C87-FEFD-49D6-BA37-D0FF1AFA2F77}" uniqueName="3" name="artist_names" queryTableFieldId="3" dataDxfId="75"/>
    <tableColumn id="4" xr3:uid="{12E47017-DE46-4685-A5BA-D3C3311ACDAD}" uniqueName="4" name="album_name" queryTableFieldId="4"/>
    <tableColumn id="5" xr3:uid="{234F6439-5F2E-4ADC-87E7-7CBE638313EA}" uniqueName="5" name="source" queryTableFieldId="5" dataDxfId="74"/>
    <tableColumn id="6" xr3:uid="{1DA13C0B-ED56-415B-95B6-26861826165E}" uniqueName="6" name="peak_rank" queryTableFieldId="6"/>
    <tableColumn id="7" xr3:uid="{21D7590A-B001-4E87-9EEC-6992C1F9D709}" uniqueName="7" name="previous_rank" queryTableFieldId="7"/>
    <tableColumn id="8" xr3:uid="{2D98C41E-9B95-4311-9863-36DBFA7D9505}" uniqueName="8" name="weeks_on_chart" queryTableFieldId="8"/>
    <tableColumn id="9" xr3:uid="{80DE7B27-F255-47FD-87DE-B0B6F2229761}" uniqueName="9" name="Data Pico" queryTableFieldId="9" dataDxfId="73">
      <calculatedColumnFormula>IFERROR(IF(Global___Top_Album_Weekly[[#This Row],[peak_rank]]&lt;Global___Top_Album_Weekly[[#This Row],[rank]],INDEX([2]Brasil___Top_Albums_Weekly!$J:$J,MATCH(Global___Top_Album_Weekly[[#This Row],[uri]],[2]Brasil___Top_Albums_Weekly!$C:$C,0),1),TODAY()-1),"-")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21CA1D-805C-4DF0-9700-758223E722F4}" name="Brasil___Top_Songs_Weekly" displayName="Brasil___Top_Songs_Weekly" ref="A1:J201" tableType="queryTable" totalsRowShown="0">
  <autoFilter ref="A1:J201" xr:uid="{0421CA1D-805C-4DF0-9700-758223E722F4}"/>
  <tableColumns count="10">
    <tableColumn id="1" xr3:uid="{DF60A46E-5781-4739-8A10-DA785AE85500}" uniqueName="1" name="rank" queryTableFieldId="1"/>
    <tableColumn id="2" xr3:uid="{02C4CE35-9EFB-498B-9D2B-D7781FA9E955}" uniqueName="2" name="uri" queryTableFieldId="2" dataDxfId="72"/>
    <tableColumn id="3" xr3:uid="{FF540A58-DC92-439D-9682-A8349B9E0EAB}" uniqueName="3" name="artist_names" queryTableFieldId="3" dataDxfId="71"/>
    <tableColumn id="4" xr3:uid="{B425C716-88C1-4985-A005-8CF432B1D7FA}" uniqueName="4" name="track_name" queryTableFieldId="4" dataDxfId="70"/>
    <tableColumn id="5" xr3:uid="{E41D3857-4820-4D79-954A-FBFB4C71D727}" uniqueName="5" name="source" queryTableFieldId="5" dataDxfId="69"/>
    <tableColumn id="6" xr3:uid="{57CABD6C-5CC1-4F3A-9F9E-ADF16DB64665}" uniqueName="6" name="peak_rank" queryTableFieldId="6"/>
    <tableColumn id="7" xr3:uid="{1988EA08-922B-41AA-A2AE-7E81E6A0FD39}" uniqueName="7" name="previous_rank" queryTableFieldId="7"/>
    <tableColumn id="8" xr3:uid="{1AC3D45A-268F-40AF-B215-E4A7BDED36EB}" uniqueName="8" name="weeks_on_chart" queryTableFieldId="8"/>
    <tableColumn id="9" xr3:uid="{64024FCD-370F-4820-B225-26C4FF11286E}" uniqueName="9" name="streams" queryTableFieldId="9"/>
    <tableColumn id="10" xr3:uid="{A9B7451E-CC4F-40D0-BEED-7FD4760456B6}" uniqueName="10" name="Data Pico" queryTableFieldId="10" dataDxfId="68">
      <calculatedColumnFormula>IFERROR(IF(Brasil___Top_Songs_Weekly[[#This Row],[peak_rank]]&lt;Brasil___Top_Songs_Weekly[[#This Row],[rank]],INDEX([2]Brasil___Top_Songs_Weekly!$K:$K,MATCH(Brasil___Top_Songs_Weekly[[#This Row],[uri]],[2]Brasil___Top_Songs_Weekly!$C:$C,0),1),TODAY()-1),"-")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10FE32C-742C-40C0-94EF-929890342219}" name="Brasil___Top_Artists_Weekly" displayName="Brasil___Top_Artists_Weekly" ref="A1:F201" tableType="queryTable" totalsRowShown="0">
  <autoFilter ref="A1:F201" xr:uid="{E10FE32C-742C-40C0-94EF-929890342219}"/>
  <tableColumns count="6">
    <tableColumn id="1" xr3:uid="{8E3EDFC2-5D30-4746-842D-D15E22057F2B}" uniqueName="1" name="rank" queryTableFieldId="1"/>
    <tableColumn id="2" xr3:uid="{E0D823CE-BE20-4626-BD2C-239CAA992F7C}" uniqueName="2" name="uri" queryTableFieldId="2" dataDxfId="67"/>
    <tableColumn id="3" xr3:uid="{5F579FCF-7C5F-48EF-ADB0-4D24D05AACD5}" uniqueName="3" name="artist_name" queryTableFieldId="3" dataDxfId="66"/>
    <tableColumn id="4" xr3:uid="{9640CEF2-4557-489A-82A8-C5EF07F8BBCB}" uniqueName="4" name="peak_rank" queryTableFieldId="4"/>
    <tableColumn id="5" xr3:uid="{49DDF8E1-CFE0-41F5-9BB2-395E3D8E7D79}" uniqueName="5" name="previous_rank" queryTableFieldId="5"/>
    <tableColumn id="6" xr3:uid="{455103BE-65E7-4483-BCDB-0D17519F0DD8}" uniqueName="6" name="weeks_on_chart" queryTableField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6658756-A2BD-49F2-94E3-C973232D883F}" name="Brasil___Top_Albums_Weekly" displayName="Brasil___Top_Albums_Weekly" ref="A1:H201" tableType="queryTable" totalsRowShown="0">
  <autoFilter ref="A1:H201" xr:uid="{A6658756-A2BD-49F2-94E3-C973232D883F}"/>
  <tableColumns count="8">
    <tableColumn id="1" xr3:uid="{725A619A-D9F4-4E41-BEFC-304C6BBF314D}" uniqueName="1" name="rank" queryTableFieldId="1"/>
    <tableColumn id="2" xr3:uid="{27CB0F06-583D-4C99-A865-120077835F2C}" uniqueName="2" name="uri" queryTableFieldId="2" dataDxfId="65"/>
    <tableColumn id="3" xr3:uid="{985BE684-B03B-45D8-930C-A3314DDE8BC2}" uniqueName="3" name="artist_names" queryTableFieldId="3" dataDxfId="64"/>
    <tableColumn id="4" xr3:uid="{EAAE9216-ECDA-4D57-9DC6-0C942BA9D0EA}" uniqueName="4" name="album_name" queryTableFieldId="4"/>
    <tableColumn id="5" xr3:uid="{4A6BB32D-C720-4D35-95D0-730D3ED8B7AB}" uniqueName="5" name="source" queryTableFieldId="5" dataDxfId="63"/>
    <tableColumn id="6" xr3:uid="{07664E0E-D834-4E01-B8FE-80C21A58760C}" uniqueName="6" name="peak_rank" queryTableFieldId="6"/>
    <tableColumn id="7" xr3:uid="{B17C57DC-351C-4FFA-B555-B78C273F2A21}" uniqueName="7" name="previous_rank" queryTableFieldId="7"/>
    <tableColumn id="8" xr3:uid="{C10D6FEF-96C1-4074-8E07-6A1483D7FAA1}" uniqueName="8" name="weeks_on_chart" queryTableFieldId="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ECF8D7A-1F6C-4C01-AACE-C7710DABBBB3}" name="Deezer" displayName="Deezer" ref="A1:I101" tableType="queryTable" totalsRowShown="0">
  <tableColumns count="9">
    <tableColumn id="1" xr3:uid="{DE858175-CC86-4AA5-ACEA-D522F826C9B3}" uniqueName="1" name="Classificação" queryTableFieldId="1"/>
    <tableColumn id="2" xr3:uid="{202EBE3D-8261-425E-9609-64052AE6BE0F}" uniqueName="2" name="Link Externo" queryTableFieldId="2" dataDxfId="62"/>
    <tableColumn id="3" xr3:uid="{4B601522-8B0E-43D1-B6A7-48AB6E3111A9}" uniqueName="3" name="Artistas" queryTableFieldId="3" dataDxfId="61"/>
    <tableColumn id="4" xr3:uid="{1C5A3AD3-9325-43FD-B7C8-6DC4F53DE02F}" uniqueName="4" name="Faixa" queryTableFieldId="4" dataDxfId="60"/>
    <tableColumn id="5" xr3:uid="{BE7DAE2E-E31F-4846-B8A5-9033DB8A9D16}" uniqueName="5" name="Gravadora" queryTableFieldId="5" dataDxfId="59"/>
    <tableColumn id="6" xr3:uid="{4E019798-66E5-403B-8198-610C71321845}" uniqueName="6" name="Posição de Pico" queryTableFieldId="6"/>
    <tableColumn id="7" xr3:uid="{E5BE8524-E7DA-46EE-88F8-6CD1013F7922}" uniqueName="7" name="Previous Rank" queryTableFieldId="10" dataDxfId="58">
      <calculatedColumnFormula>IFERROR(INDEX(Tabela_Deezer!B:B,MATCH(Deezer[[#This Row],[Link Externo]],Tabela_Deezer!C:C,0),1),"-")</calculatedColumnFormula>
    </tableColumn>
    <tableColumn id="8" xr3:uid="{69F0F2FF-D4FE-4DD4-B5A2-E96651141666}" uniqueName="8" name="Dias na Tabela" queryTableFieldId="8"/>
    <tableColumn id="9" xr3:uid="{38DE9930-C21A-44EB-874B-4155C067B0D7}" uniqueName="9" name="Data de Pico" queryTableFieldId="9" dataDxfId="1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82FAC77-CB33-487B-847C-37569FC958DF}" name="Tabela_Deezer" displayName="Tabela_Deezer" ref="A1:J8" tableType="queryTable" totalsRowShown="0">
  <tableColumns count="10">
    <tableColumn id="1" xr3:uid="{104803A1-EE8F-4917-A9F9-60C04CCE5B2F}" uniqueName="1" name="Data" queryTableFieldId="1" dataDxfId="10"/>
    <tableColumn id="2" xr3:uid="{140249FC-2B67-48CC-9E6E-1A414D6C5252}" uniqueName="2" name="Classificação" queryTableFieldId="2"/>
    <tableColumn id="3" xr3:uid="{42DF114E-2458-46ED-9103-5BE3DF380E0A}" uniqueName="3" name="Link Externo" queryTableFieldId="3" dataDxfId="57"/>
    <tableColumn id="4" xr3:uid="{FA8019A3-3283-4404-AEFD-5C6273DCAA52}" uniqueName="4" name="Artistas" queryTableFieldId="4" dataDxfId="56"/>
    <tableColumn id="5" xr3:uid="{E7DE0D48-92BD-48B2-8119-440A6454B627}" uniqueName="5" name="Faixa" queryTableFieldId="5" dataDxfId="55"/>
    <tableColumn id="6" xr3:uid="{E72517D2-C53C-45F4-8213-CEA475D9AC00}" uniqueName="6" name="Gravadora" queryTableFieldId="6" dataDxfId="54"/>
    <tableColumn id="7" xr3:uid="{E1F5E07E-BAEA-462C-B3A2-FE13B22B0919}" uniqueName="7" name="Posição de Pico" queryTableFieldId="7"/>
    <tableColumn id="8" xr3:uid="{8120D6C9-A5AE-430A-836E-527581D9BE0D}" uniqueName="8" name="Previous Rank" queryTableFieldId="8"/>
    <tableColumn id="9" xr3:uid="{ED17F989-5671-4FE5-B55C-ABF90045122E}" uniqueName="9" name="Dias na Tabela" queryTableFieldId="9"/>
    <tableColumn id="10" xr3:uid="{37CD2347-7E46-40D5-BB55-9FB2CA467D6C}" uniqueName="10" name="Data de Pico" queryTableFieldId="10" dataDxfId="9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4B19895-859E-4AF9-B6B2-9586C3EA83EB}" name="Apple" displayName="Apple" ref="A1:I101" tableType="queryTable" totalsRowShown="0">
  <autoFilter ref="A1:I101" xr:uid="{14B19895-859E-4AF9-B6B2-9586C3EA83EB}"/>
  <tableColumns count="9">
    <tableColumn id="1" xr3:uid="{E5A98B19-B4B6-42EA-A0C9-CDDAB2491334}" uniqueName="1" name="Classificação" queryTableFieldId="1"/>
    <tableColumn id="2" xr3:uid="{3531B71B-11D7-4224-9508-1705D880BA13}" uniqueName="2" name="Link Externo" queryTableFieldId="2" dataDxfId="53"/>
    <tableColumn id="3" xr3:uid="{EA7A92FC-A95D-4189-9B57-CD80D2BB4FB4}" uniqueName="3" name="Artistas" queryTableFieldId="3" dataDxfId="52"/>
    <tableColumn id="4" xr3:uid="{4AED5671-4692-4EB2-9ECF-BCEF84A2F038}" uniqueName="4" name="Faixa" queryTableFieldId="4" dataDxfId="51"/>
    <tableColumn id="5" xr3:uid="{DA9956B2-6803-4F57-B54C-027029C4B8FB}" uniqueName="5" name="Gravadora" queryTableFieldId="5" dataDxfId="50"/>
    <tableColumn id="6" xr3:uid="{975D7339-2DFC-48F5-82CB-7398FD01EC19}" uniqueName="6" name="Posição de Pico" queryTableFieldId="6"/>
    <tableColumn id="9" xr3:uid="{632CE984-3DEF-4AC4-8726-2BF1DCE38FF2}" uniqueName="9" name="Previous Rank" queryTableFieldId="9" dataDxfId="49">
      <calculatedColumnFormula>IFERROR(INDEX(Tabela_Apple!B:B,MATCH(Apple[[#This Row],[Link Externo]],Tabela_Apple!C:C,0),1),"-")</calculatedColumnFormula>
    </tableColumn>
    <tableColumn id="7" xr3:uid="{2C0FC172-D70A-457D-9921-B985BB331AF3}" uniqueName="7" name="Dias na Tabela" queryTableFieldId="7"/>
    <tableColumn id="8" xr3:uid="{024A1712-D95F-409A-B208-D3E48BDF249F}" uniqueName="8" name="Data de Pico" queryTableFieldId="8" dataDxfId="8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907F50E-F140-4642-9AB9-D8C939F36AD1}" name="Tabela_Apple" displayName="Tabela_Apple" ref="A1:J5" tableType="queryTable" totalsRowShown="0">
  <autoFilter ref="A1:J5" xr:uid="{F907F50E-F140-4642-9AB9-D8C939F36AD1}"/>
  <tableColumns count="10">
    <tableColumn id="1" xr3:uid="{1F2B5737-389C-4444-87B0-8A1020574040}" uniqueName="1" name="Data" queryTableFieldId="1" dataDxfId="7"/>
    <tableColumn id="2" xr3:uid="{359855F9-BD04-416A-80E8-FF37BA62CD8E}" uniqueName="2" name="Classificação" queryTableFieldId="2"/>
    <tableColumn id="3" xr3:uid="{DEF2ACB4-AFB8-428B-AA46-4530FAFA1B96}" uniqueName="3" name="Link Externo" queryTableFieldId="3" dataDxfId="6"/>
    <tableColumn id="4" xr3:uid="{B952846C-6F89-4E73-8EB3-A37B6252275A}" uniqueName="4" name="Artistas" queryTableFieldId="4" dataDxfId="5"/>
    <tableColumn id="5" xr3:uid="{F6F15366-0355-48BC-88CB-81014AA6F285}" uniqueName="5" name="Faixa" queryTableFieldId="5" dataDxfId="4"/>
    <tableColumn id="6" xr3:uid="{8146C550-5E3F-4759-B550-727DA1F5C0D0}" uniqueName="6" name="Gravadora" queryTableFieldId="6" dataDxfId="3"/>
    <tableColumn id="7" xr3:uid="{8E7776D2-CCDB-41A9-AC0E-39B3DA48473D}" uniqueName="7" name="Posição de Pico" queryTableFieldId="7"/>
    <tableColumn id="8" xr3:uid="{B1F3995A-4F66-4726-9EA1-82836144C300}" uniqueName="8" name="Previous Rank" queryTableFieldId="11"/>
    <tableColumn id="9" xr3:uid="{3918AB24-4093-4B6E-96D0-9EDC6700296E}" uniqueName="9" name="Dias na Tabela" queryTableFieldId="9"/>
    <tableColumn id="10" xr3:uid="{C45A9161-B28B-4BE5-917D-A1F643ABB57B}" uniqueName="10" name="Data de Pico" queryTableFieldId="10" dataDxf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D4B723C-C746-43A4-9FD7-D639286A78CF}" name="Amazon" displayName="Amazon" ref="A1:J462" tableType="queryTable" totalsRowShown="0">
  <tableColumns count="10">
    <tableColumn id="1" xr3:uid="{983D98AA-E3F4-4FF0-B1E9-B730123C0F1D}" uniqueName="1" name="Classificação" queryTableFieldId="1"/>
    <tableColumn id="6" xr3:uid="{B4D8FBB6-D899-4068-A9E7-311B66AEB37F}" uniqueName="6" name="Link Externo" queryTableFieldId="6" dataDxfId="48"/>
    <tableColumn id="4" xr3:uid="{2F570314-DF0B-432E-BB9C-0E95318FDE70}" uniqueName="4" name="Artista" queryTableFieldId="4" dataDxfId="47"/>
    <tableColumn id="3" xr3:uid="{C1E601E6-C220-4F18-9C72-37998E3BCC43}" uniqueName="3" name="Faixa" queryTableFieldId="3" dataDxfId="46"/>
    <tableColumn id="8" xr3:uid="{545FDDCB-D5DF-4EE6-9410-54D15D1AC56B}" uniqueName="8" name="Gravadora" queryTableFieldId="8" dataDxfId="45"/>
    <tableColumn id="16" xr3:uid="{2560F9FC-AECB-4708-8205-9492E5F49CD7}" uniqueName="16" name="Piak Rank" queryTableFieldId="18" dataDxfId="44"/>
    <tableColumn id="15" xr3:uid="{44F4899E-567A-4FEC-AC69-DAFD83F92122}" uniqueName="15" name="Previous Rank" queryTableFieldId="17" dataDxfId="43"/>
    <tableColumn id="13" xr3:uid="{306BF7F8-5798-4E80-B9CD-FA262AD24D50}" uniqueName="13" name="Dias na Tabela" queryTableFieldId="13"/>
    <tableColumn id="17" xr3:uid="{409EAB29-D012-4821-A88D-D194D46ECA6D}" uniqueName="17" name="Data Pico" queryTableFieldId="19" dataDxfId="42"/>
    <tableColumn id="2" xr3:uid="{761DAFF6-FF7F-4AF0-96B0-ED5764287D20}" uniqueName="2" name="cond" queryTableFieldId="20" dataDxfId="41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7AF00C9-12C0-4053-B385-E682047C6BBF}" name="Tabela_Amazon" displayName="Tabela_Amazon" ref="A1:K5" tableType="queryTable" totalsRowShown="0">
  <tableColumns count="11">
    <tableColumn id="1" xr3:uid="{4FE5A64A-A28E-4839-9BA4-2CD408ABE8DD}" uniqueName="1" name="Data" queryTableFieldId="1" dataDxfId="1"/>
    <tableColumn id="2" xr3:uid="{8F4DF8CC-EE25-45C2-8102-2A8E402715CA}" uniqueName="2" name="Classificação" queryTableFieldId="2"/>
    <tableColumn id="3" xr3:uid="{57640CFE-D34E-4B89-B957-889A29DFF117}" uniqueName="3" name="Link Externo" queryTableFieldId="3" dataDxfId="40"/>
    <tableColumn id="4" xr3:uid="{A4185E4D-78E5-48A1-B2F5-FA97D285FD47}" uniqueName="4" name="Artista" queryTableFieldId="4" dataDxfId="39"/>
    <tableColumn id="5" xr3:uid="{97CA82BA-AF0C-4E84-8038-49D6FA033931}" uniqueName="5" name="Faixa" queryTableFieldId="5" dataDxfId="38"/>
    <tableColumn id="6" xr3:uid="{38EB9E5D-B7CD-4BB1-B8D6-941D3CA903B6}" uniqueName="6" name="Gravadora" queryTableFieldId="6" dataDxfId="37"/>
    <tableColumn id="7" xr3:uid="{8632F127-B8E3-486C-9AFD-21BEC6B8FCF6}" uniqueName="7" name="Piak Rank" queryTableFieldId="7"/>
    <tableColumn id="8" xr3:uid="{80432716-790A-47FE-9008-9DB41C784B65}" uniqueName="8" name="Previous Rank" queryTableFieldId="8"/>
    <tableColumn id="9" xr3:uid="{7B16EAA1-3B38-48A5-92CB-F0F8063FB7EE}" uniqueName="9" name="Dias na Tabela" queryTableFieldId="9"/>
    <tableColumn id="10" xr3:uid="{4907D163-3E6C-4EF4-871D-EC7DCF854760}" uniqueName="10" name="Data Pico" queryTableFieldId="10" dataDxfId="0"/>
    <tableColumn id="11" xr3:uid="{06C1E278-D1F6-46F0-ACFC-DC1551B7755C}" uniqueName="11" name="cond" queryTableFieldId="11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4042B6A-6CDC-4D13-AB66-33F5620B8549}" name="Youtube___Daily_Videos" displayName="Youtube___Daily_Videos" ref="A1:H101" tableType="queryTable" totalsRowShown="0">
  <tableColumns count="8">
    <tableColumn id="1" xr3:uid="{CCEA92A8-A509-429A-80B9-6252144C1251}" uniqueName="1" name="Rank" queryTableFieldId="1"/>
    <tableColumn id="2" xr3:uid="{8180D87B-949B-4607-B676-FDBFFE67EDFC}" uniqueName="2" name="YouTube URL" queryTableFieldId="2" dataDxfId="36"/>
    <tableColumn id="3" xr3:uid="{9C3A56B9-4046-4743-8E0C-F9A41F66D9DC}" uniqueName="3" name="Artista" queryTableFieldId="10" dataDxfId="35"/>
    <tableColumn id="4" xr3:uid="{804380AC-8710-428B-8685-5B80B9F90C5B}" uniqueName="4" name="Video Title" queryTableFieldId="4" dataDxfId="34"/>
    <tableColumn id="7" xr3:uid="{1048195C-971B-4436-AD19-3BFC37D61340}" uniqueName="7" name="peak_rank" queryTableFieldId="13" dataDxfId="33">
      <calculatedColumnFormula>IFERROR(INDEX([3]Youtube___Daily_Videos!$F:$F,MATCH(Youtube___Daily_Videos[[#This Row],[YouTube URL]],[3]Youtube___Daily_Videos!$C:$C,0),1),"-")</calculatedColumnFormula>
    </tableColumn>
    <tableColumn id="5" xr3:uid="{48FEA058-991A-4783-A885-F6C652B8CC0D}" uniqueName="5" name="Previous Rank" queryTableFieldId="5" dataDxfId="32"/>
    <tableColumn id="6" xr3:uid="{B122EB93-B09E-475E-8394-448B41B64258}" uniqueName="6" name="Periods on Chart" queryTableFieldId="6"/>
    <tableColumn id="8" xr3:uid="{E1DBEA9B-1D19-40B2-BA30-D85C0CBEA614}" uniqueName="8" name="Data Pico" queryTableFieldId="8" dataDxfId="31">
      <calculatedColumnFormula>IF(Youtube___Daily_Videos[[#This Row],[peak_rank]]&lt;Youtube___Daily_Videos[[#This Row],[Rank]],INDEX([3]Youtube___Daily_Videos!$I:$I,MATCH(Youtube___Daily_Videos[[#This Row],[YouTube URL]],[3]Youtube___Daily_Videos!$C:$C,0),1),TODAY()-1)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2C7F4AF-4D3B-4C25-ACC5-05266B1AD54A}" name="youtube_shorts" displayName="youtube_shorts" ref="A1:H51" tableType="queryTable" totalsRowShown="0">
  <autoFilter ref="A1:H51" xr:uid="{62C7F4AF-4D3B-4C25-ACC5-05266B1AD54A}"/>
  <tableColumns count="8">
    <tableColumn id="1" xr3:uid="{47229A95-E429-46D9-AECA-33CB6A7B99A1}" uniqueName="1" name="Rank" queryTableFieldId="1" dataDxfId="30"/>
    <tableColumn id="2" xr3:uid="{029E1D35-A171-4CF4-92EF-AEB83DDB6E9E}" uniqueName="2" name="YouTube URL" queryTableFieldId="2" dataDxfId="29"/>
    <tableColumn id="3" xr3:uid="{6132EEA7-4723-4F78-A96B-285D5F714C3B}" uniqueName="3" name="Artista" queryTableFieldId="3" dataDxfId="28"/>
    <tableColumn id="7" xr3:uid="{4D850FE6-85DE-4F41-B91D-5DFC9F7CB74B}" uniqueName="7" name="Track Name" queryTableFieldId="7" dataDxfId="27"/>
    <tableColumn id="8" xr3:uid="{3DAC740C-040F-4F85-8829-B4395AF890ED}" uniqueName="8" name="Peak Rank" queryTableFieldId="9" dataDxfId="26">
      <calculatedColumnFormula>IFERROR(INDEX([3]Youtube___Daily_Shorts!$F:$F,MATCH(youtube_shorts[[#This Row],[YouTube URL]],[3]Youtube___Daily_Shorts!$C:$C,0),1),"_")</calculatedColumnFormula>
    </tableColumn>
    <tableColumn id="5" xr3:uid="{C128A23F-9202-4FE5-A986-C19CEDDC1666}" uniqueName="5" name="Previous Rank" queryTableFieldId="5" dataDxfId="25"/>
    <tableColumn id="6" xr3:uid="{85F38820-436D-4283-9335-52FAB04D8AF9}" uniqueName="6" name="Periods on Chart" queryTableFieldId="6" dataDxfId="24"/>
    <tableColumn id="9" xr3:uid="{CB625890-D38D-48F7-BFF1-66CD7EC86677}" uniqueName="9" name="Data Pico" queryTableFieldId="10" dataDxfId="23">
      <calculatedColumnFormula>IFERROR(IF(youtube_shorts[[#This Row],[Peak Rank]]&lt;=youtube_shorts[[#This Row],[Rank]],INDEX([3]Youtube___Daily_Shorts!$I:$I,MATCH(youtube_shorts[[#This Row],[YouTube URL]],[3]Youtube___Daily_Shorts!$C:$C,0),1),TODAY()-1),"-")</calculatedColumnFormula>
    </tableColumn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F2DE607-F03C-4DCF-BCD4-4A1283993430}" name="Youtube_Artists_Weekly" displayName="Youtube_Artists_Weekly" ref="A1:H101" tableType="queryTable" totalsRowShown="0">
  <autoFilter ref="A1:H101" xr:uid="{CF2DE607-F03C-4DCF-BCD4-4A1283993430}"/>
  <tableColumns count="8">
    <tableColumn id="1" xr3:uid="{0599020D-93C5-4D84-A7BE-A54A219305D1}" uniqueName="1" name="Classificação" queryTableFieldId="1"/>
    <tableColumn id="5" xr3:uid="{605E13DE-6B02-4E40-8AFA-3880E6E53019}" uniqueName="5" name="Link Externo" queryTableFieldId="5" dataDxfId="22"/>
    <tableColumn id="3" xr3:uid="{A31D68FD-A5E7-48D3-B38A-E8B0088AF34E}" uniqueName="3" name="Artista" queryTableFieldId="3" dataDxfId="21"/>
    <tableColumn id="7" xr3:uid="{6B9BEF09-8213-4A9C-96CA-55BF47F0E1F8}" uniqueName="7" name="Posição de Pico" queryTableFieldId="7"/>
    <tableColumn id="2" xr3:uid="{17153D4D-D7BD-4CF3-93C9-F2D14D3839F1}" uniqueName="2" name="Alteração" queryTableFieldId="2" dataDxfId="20"/>
    <tableColumn id="10" xr3:uid="{BF28B4B2-125A-40EE-8E6E-1192D72C2C86}" uniqueName="10" name="Semanas na Tabela" queryTableFieldId="10"/>
    <tableColumn id="11" xr3:uid="{60739BE8-C8BB-421C-996C-7625EDBFD050}" uniqueName="11" name="Visualizações" queryTableFieldId="11" dataDxfId="19"/>
    <tableColumn id="8" xr3:uid="{1944C65A-6023-40D8-BB23-34353F3C7885}" uniqueName="8" name="Data de Pico" queryTableFieldId="8" dataDxfId="18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C4EA63D-C470-4DC7-9D0A-9D50E5CDCA30}" name="Youtube_songs_Weekly" displayName="Youtube_songs_Weekly" ref="A1:I101" tableType="queryTable" totalsRowShown="0">
  <autoFilter ref="A1:I101" xr:uid="{5C4EA63D-C470-4DC7-9D0A-9D50E5CDCA30}"/>
  <tableColumns count="9">
    <tableColumn id="1" xr3:uid="{4DA22FEB-C0FD-4306-AD10-D56A62FAF398}" uniqueName="1" name="Classificação" queryTableFieldId="1"/>
    <tableColumn id="6" xr3:uid="{98D82520-B86D-4299-9D9E-1A523909B7EB}" uniqueName="6" name="Link Externo" queryTableFieldId="6" dataDxfId="17"/>
    <tableColumn id="4" xr3:uid="{2BF04EF3-5E74-442F-85DC-F1161899FBB6}" uniqueName="4" name="Artistas" queryTableFieldId="4" dataDxfId="16"/>
    <tableColumn id="3" xr3:uid="{A461A1AD-D98F-4382-90EB-E46F49AC8CD9}" uniqueName="3" name="Faixa" queryTableFieldId="3" dataDxfId="15"/>
    <tableColumn id="9" xr3:uid="{6D7023BC-6648-44D8-BA75-D84BC0C51A34}" uniqueName="9" name="Posição de Pico" queryTableFieldId="9"/>
    <tableColumn id="2" xr3:uid="{2D00CD77-0EA8-41CF-BCBD-FF0C1A361814}" uniqueName="2" name="Alteração" queryTableFieldId="2" dataDxfId="14"/>
    <tableColumn id="14" xr3:uid="{99815F57-9E24-4A66-8711-F45E91F29F0C}" uniqueName="14" name="Visualizações" queryTableFieldId="14" dataDxfId="13"/>
    <tableColumn id="12" xr3:uid="{E33A0C2A-04D6-4952-B99B-B7C52CBBB581}" uniqueName="12" name="Semanas na Tabela" queryTableFieldId="12"/>
    <tableColumn id="10" xr3:uid="{2F4BE460-2C54-4412-AE6E-F4F59363D3BE}" uniqueName="10" name="Data de Pico" queryTableFieldId="10" dataDxf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1404-9895-4ABD-8497-613169B4524C}">
  <sheetPr codeName="Planilha1"/>
  <dimension ref="A1:L201"/>
  <sheetViews>
    <sheetView showGridLines="0" zoomScale="80" zoomScaleNormal="80" workbookViewId="0">
      <selection activeCell="C2" sqref="C2"/>
    </sheetView>
  </sheetViews>
  <sheetFormatPr defaultRowHeight="15" x14ac:dyDescent="0.25"/>
  <cols>
    <col min="1" max="1" width="5.140625" customWidth="1"/>
    <col min="2" max="2" width="43" bestFit="1" customWidth="1"/>
    <col min="3" max="4" width="81.140625" bestFit="1" customWidth="1"/>
    <col min="5" max="5" width="47" bestFit="1" customWidth="1"/>
    <col min="6" max="6" width="10.5703125" bestFit="1" customWidth="1"/>
    <col min="7" max="7" width="13.7109375" bestFit="1" customWidth="1"/>
    <col min="8" max="8" width="14.28515625" bestFit="1" customWidth="1"/>
    <col min="9" max="9" width="8.7109375" style="1" bestFit="1" customWidth="1"/>
    <col min="10" max="10" width="11" style="1" bestFit="1" customWidth="1"/>
    <col min="11" max="11" width="12.28515625" bestFit="1" customWidth="1"/>
    <col min="12" max="12" width="12.28515625" style="2" bestFit="1" customWidth="1"/>
    <col min="15" max="15" width="11.285156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3815</v>
      </c>
      <c r="K1" s="2" t="s">
        <v>521</v>
      </c>
      <c r="L1"/>
    </row>
    <row r="2" spans="1:12" x14ac:dyDescent="0.25">
      <c r="A2">
        <v>1</v>
      </c>
      <c r="B2" t="s">
        <v>9</v>
      </c>
      <c r="C2" t="s">
        <v>10</v>
      </c>
      <c r="D2" t="s">
        <v>11</v>
      </c>
      <c r="E2" t="s">
        <v>12</v>
      </c>
      <c r="F2">
        <v>1</v>
      </c>
      <c r="G2">
        <v>1</v>
      </c>
      <c r="H2">
        <v>127</v>
      </c>
      <c r="I2">
        <v>1420234</v>
      </c>
      <c r="J2">
        <f t="shared" ref="J2:J33" si="0">IFERROR(MIN(I:I),"-")</f>
        <v>169651</v>
      </c>
      <c r="K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2"/>
    </row>
    <row r="3" spans="1:12" x14ac:dyDescent="0.25">
      <c r="A3">
        <v>2</v>
      </c>
      <c r="B3" t="s">
        <v>21</v>
      </c>
      <c r="C3" t="s">
        <v>22</v>
      </c>
      <c r="D3" t="s">
        <v>23</v>
      </c>
      <c r="E3" t="s">
        <v>24</v>
      </c>
      <c r="F3">
        <v>1</v>
      </c>
      <c r="G3">
        <v>4</v>
      </c>
      <c r="H3">
        <v>203</v>
      </c>
      <c r="I3">
        <v>1023312</v>
      </c>
      <c r="J3">
        <f t="shared" si="0"/>
        <v>169651</v>
      </c>
      <c r="K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"/>
    </row>
    <row r="4" spans="1:12" x14ac:dyDescent="0.25">
      <c r="A4">
        <v>3</v>
      </c>
      <c r="B4" t="s">
        <v>13</v>
      </c>
      <c r="C4" t="s">
        <v>14</v>
      </c>
      <c r="D4" t="s">
        <v>15</v>
      </c>
      <c r="E4" t="s">
        <v>16</v>
      </c>
      <c r="F4">
        <v>1</v>
      </c>
      <c r="G4">
        <v>2</v>
      </c>
      <c r="H4">
        <v>113</v>
      </c>
      <c r="I4">
        <v>989851</v>
      </c>
      <c r="J4">
        <f t="shared" si="0"/>
        <v>169651</v>
      </c>
      <c r="K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"/>
    </row>
    <row r="5" spans="1:12" x14ac:dyDescent="0.25">
      <c r="A5">
        <v>4</v>
      </c>
      <c r="B5" t="s">
        <v>1049</v>
      </c>
      <c r="C5" t="s">
        <v>1050</v>
      </c>
      <c r="D5" t="s">
        <v>1051</v>
      </c>
      <c r="E5" t="s">
        <v>12</v>
      </c>
      <c r="F5">
        <v>3</v>
      </c>
      <c r="G5">
        <v>3</v>
      </c>
      <c r="H5">
        <v>14</v>
      </c>
      <c r="I5">
        <v>929636</v>
      </c>
      <c r="J5">
        <f t="shared" si="0"/>
        <v>169651</v>
      </c>
      <c r="K5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45903</v>
      </c>
      <c r="L5"/>
    </row>
    <row r="6" spans="1:12" x14ac:dyDescent="0.25">
      <c r="A6">
        <v>5</v>
      </c>
      <c r="B6" t="s">
        <v>25</v>
      </c>
      <c r="C6" t="s">
        <v>26</v>
      </c>
      <c r="D6" t="s">
        <v>27</v>
      </c>
      <c r="E6" t="s">
        <v>28</v>
      </c>
      <c r="F6">
        <v>4</v>
      </c>
      <c r="G6">
        <v>6</v>
      </c>
      <c r="H6">
        <v>104</v>
      </c>
      <c r="I6">
        <v>923448</v>
      </c>
      <c r="J6">
        <f t="shared" si="0"/>
        <v>169651</v>
      </c>
      <c r="K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"/>
    </row>
    <row r="7" spans="1:12" x14ac:dyDescent="0.25">
      <c r="A7">
        <v>6</v>
      </c>
      <c r="B7" t="s">
        <v>17</v>
      </c>
      <c r="C7" t="s">
        <v>18</v>
      </c>
      <c r="D7" t="s">
        <v>19</v>
      </c>
      <c r="E7" t="s">
        <v>20</v>
      </c>
      <c r="F7">
        <v>1</v>
      </c>
      <c r="G7">
        <v>5</v>
      </c>
      <c r="H7">
        <v>75</v>
      </c>
      <c r="I7">
        <v>882667</v>
      </c>
      <c r="J7">
        <f t="shared" si="0"/>
        <v>169651</v>
      </c>
      <c r="K7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45873</v>
      </c>
      <c r="L7"/>
    </row>
    <row r="8" spans="1:12" x14ac:dyDescent="0.25">
      <c r="A8">
        <v>7</v>
      </c>
      <c r="B8" t="s">
        <v>35</v>
      </c>
      <c r="C8" t="s">
        <v>36</v>
      </c>
      <c r="D8" t="s">
        <v>37</v>
      </c>
      <c r="E8" t="s">
        <v>12</v>
      </c>
      <c r="F8">
        <v>1</v>
      </c>
      <c r="G8">
        <v>7</v>
      </c>
      <c r="H8">
        <v>297</v>
      </c>
      <c r="I8">
        <v>808559</v>
      </c>
      <c r="J8">
        <f t="shared" si="0"/>
        <v>169651</v>
      </c>
      <c r="K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"/>
    </row>
    <row r="9" spans="1:12" x14ac:dyDescent="0.25">
      <c r="A9">
        <v>8</v>
      </c>
      <c r="B9" t="s">
        <v>32</v>
      </c>
      <c r="C9" t="s">
        <v>33</v>
      </c>
      <c r="D9" t="s">
        <v>34</v>
      </c>
      <c r="E9" t="s">
        <v>12</v>
      </c>
      <c r="F9">
        <v>1</v>
      </c>
      <c r="G9">
        <v>8</v>
      </c>
      <c r="H9">
        <v>369</v>
      </c>
      <c r="I9">
        <v>707481</v>
      </c>
      <c r="J9">
        <f t="shared" si="0"/>
        <v>169651</v>
      </c>
      <c r="K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"/>
    </row>
    <row r="10" spans="1:12" x14ac:dyDescent="0.25">
      <c r="A10">
        <v>9</v>
      </c>
      <c r="B10" t="s">
        <v>42</v>
      </c>
      <c r="C10" t="s">
        <v>43</v>
      </c>
      <c r="D10" t="s">
        <v>44</v>
      </c>
      <c r="E10" t="s">
        <v>31</v>
      </c>
      <c r="F10">
        <v>1</v>
      </c>
      <c r="G10">
        <v>9</v>
      </c>
      <c r="H10">
        <v>343</v>
      </c>
      <c r="I10">
        <v>666840</v>
      </c>
      <c r="J10">
        <f t="shared" si="0"/>
        <v>169651</v>
      </c>
      <c r="K1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"/>
    </row>
    <row r="11" spans="1:12" x14ac:dyDescent="0.25">
      <c r="A11">
        <v>10</v>
      </c>
      <c r="B11" t="s">
        <v>38</v>
      </c>
      <c r="C11" t="s">
        <v>39</v>
      </c>
      <c r="D11" t="s">
        <v>40</v>
      </c>
      <c r="E11" t="s">
        <v>41</v>
      </c>
      <c r="F11">
        <v>8</v>
      </c>
      <c r="G11">
        <v>10</v>
      </c>
      <c r="H11">
        <v>151</v>
      </c>
      <c r="I11">
        <v>642564</v>
      </c>
      <c r="J11">
        <f t="shared" si="0"/>
        <v>169651</v>
      </c>
      <c r="K1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"/>
    </row>
    <row r="12" spans="1:12" x14ac:dyDescent="0.25">
      <c r="A12">
        <v>11</v>
      </c>
      <c r="B12" t="s">
        <v>48</v>
      </c>
      <c r="C12" t="s">
        <v>49</v>
      </c>
      <c r="D12" t="s">
        <v>50</v>
      </c>
      <c r="E12" t="s">
        <v>24</v>
      </c>
      <c r="F12">
        <v>10</v>
      </c>
      <c r="G12">
        <v>11</v>
      </c>
      <c r="H12">
        <v>63</v>
      </c>
      <c r="I12">
        <v>578519</v>
      </c>
      <c r="J12">
        <f t="shared" si="0"/>
        <v>169651</v>
      </c>
      <c r="K1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"/>
    </row>
    <row r="13" spans="1:12" x14ac:dyDescent="0.25">
      <c r="A13">
        <v>12</v>
      </c>
      <c r="B13" t="s">
        <v>64</v>
      </c>
      <c r="C13" t="s">
        <v>65</v>
      </c>
      <c r="D13" t="s">
        <v>66</v>
      </c>
      <c r="E13" t="s">
        <v>67</v>
      </c>
      <c r="F13">
        <v>11</v>
      </c>
      <c r="G13">
        <v>15</v>
      </c>
      <c r="H13">
        <v>224</v>
      </c>
      <c r="I13">
        <v>559856</v>
      </c>
      <c r="J13">
        <f t="shared" si="0"/>
        <v>169651</v>
      </c>
      <c r="K1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"/>
    </row>
    <row r="14" spans="1:12" x14ac:dyDescent="0.25">
      <c r="A14">
        <v>13</v>
      </c>
      <c r="B14" t="s">
        <v>45</v>
      </c>
      <c r="C14" t="s">
        <v>46</v>
      </c>
      <c r="D14" t="s">
        <v>47</v>
      </c>
      <c r="E14" t="s">
        <v>12</v>
      </c>
      <c r="F14">
        <v>6</v>
      </c>
      <c r="G14">
        <v>12</v>
      </c>
      <c r="H14">
        <v>105</v>
      </c>
      <c r="I14">
        <v>551225</v>
      </c>
      <c r="J14">
        <f t="shared" si="0"/>
        <v>169651</v>
      </c>
      <c r="K1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"/>
    </row>
    <row r="15" spans="1:12" x14ac:dyDescent="0.25">
      <c r="A15">
        <v>14</v>
      </c>
      <c r="B15" t="s">
        <v>55</v>
      </c>
      <c r="C15" t="s">
        <v>43</v>
      </c>
      <c r="D15" t="s">
        <v>56</v>
      </c>
      <c r="E15" t="s">
        <v>31</v>
      </c>
      <c r="F15">
        <v>11</v>
      </c>
      <c r="G15">
        <v>16</v>
      </c>
      <c r="H15">
        <v>175</v>
      </c>
      <c r="I15">
        <v>543711</v>
      </c>
      <c r="J15">
        <f t="shared" si="0"/>
        <v>169651</v>
      </c>
      <c r="K1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"/>
    </row>
    <row r="16" spans="1:12" x14ac:dyDescent="0.25">
      <c r="A16">
        <v>15</v>
      </c>
      <c r="B16" t="s">
        <v>158</v>
      </c>
      <c r="C16" t="s">
        <v>159</v>
      </c>
      <c r="D16" t="s">
        <v>160</v>
      </c>
      <c r="E16" t="s">
        <v>138</v>
      </c>
      <c r="F16">
        <v>1</v>
      </c>
      <c r="G16">
        <v>17</v>
      </c>
      <c r="H16">
        <v>312</v>
      </c>
      <c r="I16">
        <v>527976</v>
      </c>
      <c r="J16">
        <f t="shared" si="0"/>
        <v>169651</v>
      </c>
      <c r="K16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45673</v>
      </c>
      <c r="L16"/>
    </row>
    <row r="17" spans="1:12" x14ac:dyDescent="0.25">
      <c r="A17">
        <v>16</v>
      </c>
      <c r="B17" t="s">
        <v>4296</v>
      </c>
      <c r="C17" t="s">
        <v>29</v>
      </c>
      <c r="D17" t="s">
        <v>30</v>
      </c>
      <c r="E17" t="s">
        <v>31</v>
      </c>
      <c r="F17">
        <v>5</v>
      </c>
      <c r="G17">
        <v>14</v>
      </c>
      <c r="H17">
        <v>48</v>
      </c>
      <c r="I17">
        <v>523559</v>
      </c>
      <c r="J17">
        <f t="shared" si="0"/>
        <v>169651</v>
      </c>
      <c r="K1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"/>
    </row>
    <row r="18" spans="1:12" x14ac:dyDescent="0.25">
      <c r="A18">
        <v>17</v>
      </c>
      <c r="B18" t="s">
        <v>401</v>
      </c>
      <c r="C18" t="s">
        <v>402</v>
      </c>
      <c r="D18" t="s">
        <v>403</v>
      </c>
      <c r="E18" t="s">
        <v>402</v>
      </c>
      <c r="F18">
        <v>17</v>
      </c>
      <c r="G18">
        <v>21</v>
      </c>
      <c r="H18">
        <v>16</v>
      </c>
      <c r="I18">
        <v>495146</v>
      </c>
      <c r="J18">
        <f t="shared" si="0"/>
        <v>169651</v>
      </c>
      <c r="K1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18"/>
    </row>
    <row r="19" spans="1:12" x14ac:dyDescent="0.25">
      <c r="A19">
        <v>18</v>
      </c>
      <c r="B19" t="s">
        <v>92</v>
      </c>
      <c r="C19" t="s">
        <v>93</v>
      </c>
      <c r="D19" t="s">
        <v>94</v>
      </c>
      <c r="E19" t="s">
        <v>24</v>
      </c>
      <c r="F19">
        <v>10</v>
      </c>
      <c r="G19">
        <v>13</v>
      </c>
      <c r="H19">
        <v>22</v>
      </c>
      <c r="I19">
        <v>478017</v>
      </c>
      <c r="J19">
        <f t="shared" si="0"/>
        <v>169651</v>
      </c>
      <c r="K1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"/>
    </row>
    <row r="20" spans="1:12" x14ac:dyDescent="0.25">
      <c r="A20">
        <v>19</v>
      </c>
      <c r="B20" t="s">
        <v>57</v>
      </c>
      <c r="C20" t="s">
        <v>58</v>
      </c>
      <c r="D20" t="s">
        <v>59</v>
      </c>
      <c r="E20" t="s">
        <v>60</v>
      </c>
      <c r="F20">
        <v>1</v>
      </c>
      <c r="G20">
        <v>18</v>
      </c>
      <c r="H20">
        <v>70</v>
      </c>
      <c r="I20">
        <v>453304</v>
      </c>
      <c r="J20">
        <f t="shared" si="0"/>
        <v>169651</v>
      </c>
      <c r="K2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"/>
    </row>
    <row r="21" spans="1:12" x14ac:dyDescent="0.25">
      <c r="A21">
        <v>20</v>
      </c>
      <c r="B21" t="s">
        <v>61</v>
      </c>
      <c r="C21" t="s">
        <v>62</v>
      </c>
      <c r="D21" t="s">
        <v>63</v>
      </c>
      <c r="E21" t="s">
        <v>24</v>
      </c>
      <c r="F21">
        <v>14</v>
      </c>
      <c r="G21">
        <v>20</v>
      </c>
      <c r="H21">
        <v>455</v>
      </c>
      <c r="I21">
        <v>445789</v>
      </c>
      <c r="J21">
        <f t="shared" si="0"/>
        <v>169651</v>
      </c>
      <c r="K2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1"/>
    </row>
    <row r="22" spans="1:12" x14ac:dyDescent="0.25">
      <c r="A22">
        <v>21</v>
      </c>
      <c r="B22" t="s">
        <v>102</v>
      </c>
      <c r="C22" t="s">
        <v>103</v>
      </c>
      <c r="D22" t="s">
        <v>104</v>
      </c>
      <c r="E22" t="s">
        <v>105</v>
      </c>
      <c r="F22">
        <v>18</v>
      </c>
      <c r="G22">
        <v>25</v>
      </c>
      <c r="H22">
        <v>523</v>
      </c>
      <c r="I22">
        <v>445522</v>
      </c>
      <c r="J22">
        <f t="shared" si="0"/>
        <v>169651</v>
      </c>
      <c r="K2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2"/>
    </row>
    <row r="23" spans="1:12" x14ac:dyDescent="0.25">
      <c r="A23">
        <v>22</v>
      </c>
      <c r="B23" t="s">
        <v>78</v>
      </c>
      <c r="C23" t="s">
        <v>33</v>
      </c>
      <c r="D23" t="s">
        <v>79</v>
      </c>
      <c r="E23" t="s">
        <v>12</v>
      </c>
      <c r="F23">
        <v>11</v>
      </c>
      <c r="G23">
        <v>19</v>
      </c>
      <c r="H23">
        <v>197</v>
      </c>
      <c r="I23">
        <v>444453</v>
      </c>
      <c r="J23">
        <f t="shared" si="0"/>
        <v>169651</v>
      </c>
      <c r="K2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3"/>
    </row>
    <row r="24" spans="1:12" x14ac:dyDescent="0.25">
      <c r="A24">
        <v>23</v>
      </c>
      <c r="B24" t="s">
        <v>112</v>
      </c>
      <c r="C24" t="s">
        <v>43</v>
      </c>
      <c r="D24" t="s">
        <v>113</v>
      </c>
      <c r="E24" t="s">
        <v>31</v>
      </c>
      <c r="F24">
        <v>17</v>
      </c>
      <c r="G24">
        <v>28</v>
      </c>
      <c r="H24">
        <v>343</v>
      </c>
      <c r="I24">
        <v>433874</v>
      </c>
      <c r="J24">
        <f t="shared" si="0"/>
        <v>169651</v>
      </c>
      <c r="K2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4"/>
    </row>
    <row r="25" spans="1:12" x14ac:dyDescent="0.25">
      <c r="A25">
        <v>24</v>
      </c>
      <c r="B25" t="s">
        <v>95</v>
      </c>
      <c r="C25" t="s">
        <v>96</v>
      </c>
      <c r="D25" t="s">
        <v>97</v>
      </c>
      <c r="E25" t="s">
        <v>98</v>
      </c>
      <c r="F25">
        <v>22</v>
      </c>
      <c r="G25">
        <v>23</v>
      </c>
      <c r="H25">
        <v>59</v>
      </c>
      <c r="I25">
        <v>433259</v>
      </c>
      <c r="J25">
        <f t="shared" si="0"/>
        <v>169651</v>
      </c>
      <c r="K2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5"/>
    </row>
    <row r="26" spans="1:12" x14ac:dyDescent="0.25">
      <c r="A26">
        <v>25</v>
      </c>
      <c r="B26" t="s">
        <v>80</v>
      </c>
      <c r="C26" t="s">
        <v>81</v>
      </c>
      <c r="D26" t="s">
        <v>82</v>
      </c>
      <c r="E26" t="s">
        <v>67</v>
      </c>
      <c r="F26">
        <v>9</v>
      </c>
      <c r="G26">
        <v>33</v>
      </c>
      <c r="H26">
        <v>235</v>
      </c>
      <c r="I26">
        <v>432944</v>
      </c>
      <c r="J26">
        <f t="shared" si="0"/>
        <v>169651</v>
      </c>
      <c r="K2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6"/>
    </row>
    <row r="27" spans="1:12" x14ac:dyDescent="0.25">
      <c r="A27">
        <v>26</v>
      </c>
      <c r="B27" t="s">
        <v>99</v>
      </c>
      <c r="C27" t="s">
        <v>100</v>
      </c>
      <c r="D27" t="s">
        <v>101</v>
      </c>
      <c r="E27" t="s">
        <v>88</v>
      </c>
      <c r="F27">
        <v>4</v>
      </c>
      <c r="G27">
        <v>32</v>
      </c>
      <c r="H27">
        <v>209</v>
      </c>
      <c r="I27">
        <v>427987</v>
      </c>
      <c r="J27">
        <f t="shared" si="0"/>
        <v>169651</v>
      </c>
      <c r="K2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7"/>
    </row>
    <row r="28" spans="1:12" x14ac:dyDescent="0.25">
      <c r="A28">
        <v>27</v>
      </c>
      <c r="B28" t="s">
        <v>51</v>
      </c>
      <c r="C28" t="s">
        <v>52</v>
      </c>
      <c r="D28" t="s">
        <v>53</v>
      </c>
      <c r="E28" t="s">
        <v>54</v>
      </c>
      <c r="F28">
        <v>9</v>
      </c>
      <c r="G28">
        <v>30</v>
      </c>
      <c r="H28">
        <v>112</v>
      </c>
      <c r="I28">
        <v>416966</v>
      </c>
      <c r="J28">
        <f t="shared" si="0"/>
        <v>169651</v>
      </c>
      <c r="K2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8"/>
    </row>
    <row r="29" spans="1:12" x14ac:dyDescent="0.25">
      <c r="A29">
        <v>28</v>
      </c>
      <c r="B29" t="s">
        <v>169</v>
      </c>
      <c r="C29" t="s">
        <v>170</v>
      </c>
      <c r="D29" t="s">
        <v>171</v>
      </c>
      <c r="E29" t="s">
        <v>170</v>
      </c>
      <c r="F29">
        <v>12</v>
      </c>
      <c r="G29">
        <v>22</v>
      </c>
      <c r="H29">
        <v>98</v>
      </c>
      <c r="I29">
        <v>416322</v>
      </c>
      <c r="J29">
        <f t="shared" si="0"/>
        <v>169651</v>
      </c>
      <c r="K2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9"/>
    </row>
    <row r="30" spans="1:12" x14ac:dyDescent="0.25">
      <c r="A30">
        <v>29</v>
      </c>
      <c r="B30" t="s">
        <v>68</v>
      </c>
      <c r="C30" t="s">
        <v>69</v>
      </c>
      <c r="D30" t="s">
        <v>70</v>
      </c>
      <c r="E30" t="s">
        <v>67</v>
      </c>
      <c r="F30">
        <v>1</v>
      </c>
      <c r="G30">
        <v>24</v>
      </c>
      <c r="H30">
        <v>154</v>
      </c>
      <c r="I30">
        <v>413357</v>
      </c>
      <c r="J30">
        <f t="shared" si="0"/>
        <v>169651</v>
      </c>
      <c r="K3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0"/>
    </row>
    <row r="31" spans="1:12" x14ac:dyDescent="0.25">
      <c r="A31">
        <v>30</v>
      </c>
      <c r="B31" t="s">
        <v>83</v>
      </c>
      <c r="C31" t="s">
        <v>43</v>
      </c>
      <c r="D31" t="s">
        <v>84</v>
      </c>
      <c r="E31" t="s">
        <v>31</v>
      </c>
      <c r="F31">
        <v>14</v>
      </c>
      <c r="G31">
        <v>31</v>
      </c>
      <c r="H31">
        <v>247</v>
      </c>
      <c r="I31">
        <v>410561</v>
      </c>
      <c r="J31">
        <f t="shared" si="0"/>
        <v>169651</v>
      </c>
      <c r="K3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1"/>
    </row>
    <row r="32" spans="1:12" x14ac:dyDescent="0.25">
      <c r="A32">
        <v>31</v>
      </c>
      <c r="B32" t="s">
        <v>1052</v>
      </c>
      <c r="C32" t="s">
        <v>110</v>
      </c>
      <c r="D32" t="s">
        <v>111</v>
      </c>
      <c r="E32" t="s">
        <v>12</v>
      </c>
      <c r="F32">
        <v>20</v>
      </c>
      <c r="G32">
        <v>26</v>
      </c>
      <c r="H32">
        <v>35</v>
      </c>
      <c r="I32">
        <v>407198</v>
      </c>
      <c r="J32">
        <f t="shared" si="0"/>
        <v>169651</v>
      </c>
      <c r="K3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2"/>
    </row>
    <row r="33" spans="1:12" x14ac:dyDescent="0.25">
      <c r="A33">
        <v>32</v>
      </c>
      <c r="B33" t="s">
        <v>89</v>
      </c>
      <c r="C33" t="s">
        <v>90</v>
      </c>
      <c r="D33" t="s">
        <v>91</v>
      </c>
      <c r="E33" t="s">
        <v>41</v>
      </c>
      <c r="F33">
        <v>13</v>
      </c>
      <c r="G33">
        <v>35</v>
      </c>
      <c r="H33">
        <v>151</v>
      </c>
      <c r="I33">
        <v>402139</v>
      </c>
      <c r="J33">
        <f t="shared" si="0"/>
        <v>169651</v>
      </c>
      <c r="K3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3"/>
    </row>
    <row r="34" spans="1:12" x14ac:dyDescent="0.25">
      <c r="A34">
        <v>33</v>
      </c>
      <c r="B34" t="s">
        <v>3916</v>
      </c>
      <c r="C34" t="s">
        <v>3702</v>
      </c>
      <c r="D34" t="s">
        <v>3917</v>
      </c>
      <c r="E34" t="s">
        <v>3702</v>
      </c>
      <c r="F34">
        <v>30</v>
      </c>
      <c r="G34">
        <v>34</v>
      </c>
      <c r="H34">
        <v>9</v>
      </c>
      <c r="I34">
        <v>395958</v>
      </c>
      <c r="J34">
        <f t="shared" ref="J34:J65" si="1">IFERROR(MIN(I:I),"-")</f>
        <v>169651</v>
      </c>
      <c r="K3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4"/>
    </row>
    <row r="35" spans="1:12" x14ac:dyDescent="0.25">
      <c r="A35">
        <v>34</v>
      </c>
      <c r="B35" t="s">
        <v>147</v>
      </c>
      <c r="C35" t="s">
        <v>148</v>
      </c>
      <c r="D35" t="s">
        <v>149</v>
      </c>
      <c r="E35" t="s">
        <v>150</v>
      </c>
      <c r="F35">
        <v>33</v>
      </c>
      <c r="G35">
        <v>50</v>
      </c>
      <c r="H35">
        <v>569</v>
      </c>
      <c r="I35">
        <v>390152</v>
      </c>
      <c r="J35">
        <f t="shared" si="1"/>
        <v>169651</v>
      </c>
      <c r="K3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5"/>
    </row>
    <row r="36" spans="1:12" x14ac:dyDescent="0.25">
      <c r="A36">
        <v>35</v>
      </c>
      <c r="B36" t="s">
        <v>74</v>
      </c>
      <c r="C36" t="s">
        <v>75</v>
      </c>
      <c r="D36" t="s">
        <v>76</v>
      </c>
      <c r="E36" t="s">
        <v>77</v>
      </c>
      <c r="F36">
        <v>5</v>
      </c>
      <c r="G36">
        <v>37</v>
      </c>
      <c r="H36">
        <v>175</v>
      </c>
      <c r="I36">
        <v>387444</v>
      </c>
      <c r="J36">
        <f t="shared" si="1"/>
        <v>169651</v>
      </c>
      <c r="K3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6"/>
    </row>
    <row r="37" spans="1:12" x14ac:dyDescent="0.25">
      <c r="A37">
        <v>36</v>
      </c>
      <c r="B37" t="s">
        <v>106</v>
      </c>
      <c r="C37" t="s">
        <v>107</v>
      </c>
      <c r="D37" t="s">
        <v>108</v>
      </c>
      <c r="E37" t="s">
        <v>109</v>
      </c>
      <c r="F37">
        <v>19</v>
      </c>
      <c r="G37">
        <v>39</v>
      </c>
      <c r="H37">
        <v>141</v>
      </c>
      <c r="I37">
        <v>384111</v>
      </c>
      <c r="J37">
        <f t="shared" si="1"/>
        <v>169651</v>
      </c>
      <c r="K3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7"/>
    </row>
    <row r="38" spans="1:12" x14ac:dyDescent="0.25">
      <c r="A38">
        <v>37</v>
      </c>
      <c r="B38" t="s">
        <v>120</v>
      </c>
      <c r="C38" t="s">
        <v>43</v>
      </c>
      <c r="D38" t="s">
        <v>121</v>
      </c>
      <c r="E38" t="s">
        <v>31</v>
      </c>
      <c r="F38">
        <v>19</v>
      </c>
      <c r="G38">
        <v>41</v>
      </c>
      <c r="H38">
        <v>302</v>
      </c>
      <c r="I38">
        <v>373299</v>
      </c>
      <c r="J38">
        <f t="shared" si="1"/>
        <v>169651</v>
      </c>
      <c r="K3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8"/>
    </row>
    <row r="39" spans="1:12" x14ac:dyDescent="0.25">
      <c r="A39">
        <v>38</v>
      </c>
      <c r="B39" t="s">
        <v>187</v>
      </c>
      <c r="C39" t="s">
        <v>188</v>
      </c>
      <c r="D39" t="s">
        <v>189</v>
      </c>
      <c r="E39" t="s">
        <v>88</v>
      </c>
      <c r="F39">
        <v>18</v>
      </c>
      <c r="G39">
        <v>29</v>
      </c>
      <c r="H39">
        <v>16</v>
      </c>
      <c r="I39">
        <v>357288</v>
      </c>
      <c r="J39">
        <f t="shared" si="1"/>
        <v>169651</v>
      </c>
      <c r="K3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9"/>
    </row>
    <row r="40" spans="1:12" x14ac:dyDescent="0.25">
      <c r="A40">
        <v>39</v>
      </c>
      <c r="B40" t="s">
        <v>194</v>
      </c>
      <c r="C40" t="s">
        <v>133</v>
      </c>
      <c r="D40" t="s">
        <v>195</v>
      </c>
      <c r="E40" t="s">
        <v>77</v>
      </c>
      <c r="F40">
        <v>31</v>
      </c>
      <c r="G40">
        <v>38</v>
      </c>
      <c r="H40">
        <v>21</v>
      </c>
      <c r="I40">
        <v>354720</v>
      </c>
      <c r="J40">
        <f t="shared" si="1"/>
        <v>169651</v>
      </c>
      <c r="K4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0"/>
    </row>
    <row r="41" spans="1:12" x14ac:dyDescent="0.25">
      <c r="A41">
        <v>40</v>
      </c>
      <c r="B41" t="s">
        <v>118</v>
      </c>
      <c r="C41" t="s">
        <v>69</v>
      </c>
      <c r="D41" t="s">
        <v>119</v>
      </c>
      <c r="E41" t="s">
        <v>67</v>
      </c>
      <c r="F41">
        <v>3</v>
      </c>
      <c r="G41">
        <v>46</v>
      </c>
      <c r="H41">
        <v>217</v>
      </c>
      <c r="I41">
        <v>345752</v>
      </c>
      <c r="J41">
        <f t="shared" si="1"/>
        <v>169651</v>
      </c>
      <c r="K4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1"/>
    </row>
    <row r="42" spans="1:12" x14ac:dyDescent="0.25">
      <c r="A42">
        <v>41</v>
      </c>
      <c r="B42" t="s">
        <v>71</v>
      </c>
      <c r="C42" t="s">
        <v>72</v>
      </c>
      <c r="D42" t="s">
        <v>73</v>
      </c>
      <c r="E42" t="s">
        <v>20</v>
      </c>
      <c r="F42">
        <v>13</v>
      </c>
      <c r="G42">
        <v>42</v>
      </c>
      <c r="H42">
        <v>39</v>
      </c>
      <c r="I42">
        <v>345183</v>
      </c>
      <c r="J42">
        <f t="shared" si="1"/>
        <v>169651</v>
      </c>
      <c r="K4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45874</v>
      </c>
      <c r="L42"/>
    </row>
    <row r="43" spans="1:12" x14ac:dyDescent="0.25">
      <c r="A43">
        <v>42</v>
      </c>
      <c r="B43" t="s">
        <v>128</v>
      </c>
      <c r="C43" t="s">
        <v>129</v>
      </c>
      <c r="D43" t="s">
        <v>130</v>
      </c>
      <c r="E43" t="s">
        <v>131</v>
      </c>
      <c r="F43">
        <v>33</v>
      </c>
      <c r="G43">
        <v>45</v>
      </c>
      <c r="H43">
        <v>184</v>
      </c>
      <c r="I43">
        <v>344906</v>
      </c>
      <c r="J43">
        <f t="shared" si="1"/>
        <v>169651</v>
      </c>
      <c r="K4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3"/>
    </row>
    <row r="44" spans="1:12" x14ac:dyDescent="0.25">
      <c r="A44">
        <v>43</v>
      </c>
      <c r="B44" t="s">
        <v>1069</v>
      </c>
      <c r="C44" t="s">
        <v>159</v>
      </c>
      <c r="D44" t="s">
        <v>1070</v>
      </c>
      <c r="E44" t="s">
        <v>138</v>
      </c>
      <c r="F44">
        <v>43</v>
      </c>
      <c r="G44">
        <v>55</v>
      </c>
      <c r="H44">
        <v>14</v>
      </c>
      <c r="I44">
        <v>344794</v>
      </c>
      <c r="J44">
        <f t="shared" si="1"/>
        <v>169651</v>
      </c>
      <c r="K4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44"/>
    </row>
    <row r="45" spans="1:12" x14ac:dyDescent="0.25">
      <c r="A45">
        <v>44</v>
      </c>
      <c r="B45" t="s">
        <v>215</v>
      </c>
      <c r="C45" t="s">
        <v>22</v>
      </c>
      <c r="D45" t="s">
        <v>216</v>
      </c>
      <c r="E45" t="s">
        <v>24</v>
      </c>
      <c r="F45">
        <v>4</v>
      </c>
      <c r="G45">
        <v>54</v>
      </c>
      <c r="H45">
        <v>362</v>
      </c>
      <c r="I45">
        <v>335310</v>
      </c>
      <c r="J45">
        <f t="shared" si="1"/>
        <v>169651</v>
      </c>
      <c r="K4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5"/>
    </row>
    <row r="46" spans="1:12" x14ac:dyDescent="0.25">
      <c r="A46">
        <v>45</v>
      </c>
      <c r="B46" t="s">
        <v>161</v>
      </c>
      <c r="C46" t="s">
        <v>22</v>
      </c>
      <c r="D46" t="s">
        <v>162</v>
      </c>
      <c r="E46" t="s">
        <v>24</v>
      </c>
      <c r="F46">
        <v>17</v>
      </c>
      <c r="G46">
        <v>36</v>
      </c>
      <c r="H46">
        <v>423</v>
      </c>
      <c r="I46">
        <v>330383</v>
      </c>
      <c r="J46">
        <f t="shared" si="1"/>
        <v>169651</v>
      </c>
      <c r="K4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6"/>
    </row>
    <row r="47" spans="1:12" x14ac:dyDescent="0.25">
      <c r="A47">
        <v>46</v>
      </c>
      <c r="B47" t="s">
        <v>3703</v>
      </c>
      <c r="C47" t="s">
        <v>665</v>
      </c>
      <c r="D47" t="s">
        <v>3451</v>
      </c>
      <c r="E47" t="s">
        <v>12</v>
      </c>
      <c r="F47">
        <v>26</v>
      </c>
      <c r="G47">
        <v>27</v>
      </c>
      <c r="H47">
        <v>12</v>
      </c>
      <c r="I47">
        <v>327293</v>
      </c>
      <c r="J47">
        <f t="shared" si="1"/>
        <v>169651</v>
      </c>
      <c r="K4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7"/>
    </row>
    <row r="48" spans="1:12" x14ac:dyDescent="0.25">
      <c r="A48">
        <v>47</v>
      </c>
      <c r="B48" t="s">
        <v>4301</v>
      </c>
      <c r="C48" t="s">
        <v>122</v>
      </c>
      <c r="D48" t="s">
        <v>123</v>
      </c>
      <c r="E48" t="s">
        <v>24</v>
      </c>
      <c r="F48">
        <v>19</v>
      </c>
      <c r="G48">
        <v>52</v>
      </c>
      <c r="H48">
        <v>70</v>
      </c>
      <c r="I48">
        <v>324815</v>
      </c>
      <c r="J48">
        <f t="shared" si="1"/>
        <v>169651</v>
      </c>
      <c r="K4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8"/>
    </row>
    <row r="49" spans="1:12" x14ac:dyDescent="0.25">
      <c r="A49">
        <v>48</v>
      </c>
      <c r="B49" t="s">
        <v>139</v>
      </c>
      <c r="C49" t="s">
        <v>140</v>
      </c>
      <c r="D49" t="s">
        <v>141</v>
      </c>
      <c r="E49" t="s">
        <v>142</v>
      </c>
      <c r="F49">
        <v>41</v>
      </c>
      <c r="G49">
        <v>44</v>
      </c>
      <c r="H49">
        <v>36</v>
      </c>
      <c r="I49">
        <v>324634</v>
      </c>
      <c r="J49">
        <f t="shared" si="1"/>
        <v>169651</v>
      </c>
      <c r="K4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9"/>
    </row>
    <row r="50" spans="1:12" x14ac:dyDescent="0.25">
      <c r="A50">
        <v>49</v>
      </c>
      <c r="B50" t="s">
        <v>4297</v>
      </c>
      <c r="C50" t="s">
        <v>496</v>
      </c>
      <c r="D50" t="s">
        <v>4226</v>
      </c>
      <c r="E50" t="s">
        <v>1133</v>
      </c>
      <c r="F50">
        <v>16</v>
      </c>
      <c r="G50">
        <v>43</v>
      </c>
      <c r="H50">
        <v>7</v>
      </c>
      <c r="I50">
        <v>320411</v>
      </c>
      <c r="J50">
        <f t="shared" si="1"/>
        <v>169651</v>
      </c>
      <c r="K5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0"/>
    </row>
    <row r="51" spans="1:12" x14ac:dyDescent="0.25">
      <c r="A51">
        <v>50</v>
      </c>
      <c r="B51" t="s">
        <v>163</v>
      </c>
      <c r="C51" t="s">
        <v>164</v>
      </c>
      <c r="D51" t="s">
        <v>3914</v>
      </c>
      <c r="E51" t="s">
        <v>164</v>
      </c>
      <c r="F51">
        <v>35</v>
      </c>
      <c r="G51">
        <v>53</v>
      </c>
      <c r="H51">
        <v>154</v>
      </c>
      <c r="I51">
        <v>315081</v>
      </c>
      <c r="J51">
        <f t="shared" si="1"/>
        <v>169651</v>
      </c>
      <c r="K5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1"/>
    </row>
    <row r="52" spans="1:12" x14ac:dyDescent="0.25">
      <c r="A52">
        <v>51</v>
      </c>
      <c r="B52" t="s">
        <v>300</v>
      </c>
      <c r="C52" t="s">
        <v>301</v>
      </c>
      <c r="D52" t="s">
        <v>302</v>
      </c>
      <c r="E52" t="s">
        <v>303</v>
      </c>
      <c r="F52">
        <v>19</v>
      </c>
      <c r="G52">
        <v>51</v>
      </c>
      <c r="H52">
        <v>107</v>
      </c>
      <c r="I52">
        <v>313541</v>
      </c>
      <c r="J52">
        <f t="shared" si="1"/>
        <v>169651</v>
      </c>
      <c r="K5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2"/>
    </row>
    <row r="53" spans="1:12" x14ac:dyDescent="0.25">
      <c r="A53">
        <v>52</v>
      </c>
      <c r="B53" t="s">
        <v>154</v>
      </c>
      <c r="C53" t="s">
        <v>46</v>
      </c>
      <c r="D53" t="s">
        <v>155</v>
      </c>
      <c r="E53" t="s">
        <v>12</v>
      </c>
      <c r="F53">
        <v>12</v>
      </c>
      <c r="G53">
        <v>59</v>
      </c>
      <c r="H53">
        <v>105</v>
      </c>
      <c r="I53">
        <v>312085</v>
      </c>
      <c r="J53">
        <f t="shared" si="1"/>
        <v>169651</v>
      </c>
      <c r="K5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3"/>
    </row>
    <row r="54" spans="1:12" x14ac:dyDescent="0.25">
      <c r="A54">
        <v>53</v>
      </c>
      <c r="B54" t="s">
        <v>151</v>
      </c>
      <c r="C54" t="s">
        <v>152</v>
      </c>
      <c r="D54" t="s">
        <v>153</v>
      </c>
      <c r="E54" t="s">
        <v>12</v>
      </c>
      <c r="F54">
        <v>10</v>
      </c>
      <c r="G54">
        <v>63</v>
      </c>
      <c r="H54">
        <v>301</v>
      </c>
      <c r="I54">
        <v>304639</v>
      </c>
      <c r="J54">
        <f t="shared" si="1"/>
        <v>169651</v>
      </c>
      <c r="K5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4"/>
    </row>
    <row r="55" spans="1:12" x14ac:dyDescent="0.25">
      <c r="A55">
        <v>54</v>
      </c>
      <c r="B55" t="s">
        <v>156</v>
      </c>
      <c r="C55" t="s">
        <v>43</v>
      </c>
      <c r="D55" t="s">
        <v>157</v>
      </c>
      <c r="E55" t="s">
        <v>31</v>
      </c>
      <c r="F55">
        <v>15</v>
      </c>
      <c r="G55">
        <v>47</v>
      </c>
      <c r="H55">
        <v>1060</v>
      </c>
      <c r="I55">
        <v>303016</v>
      </c>
      <c r="J55">
        <f t="shared" si="1"/>
        <v>169651</v>
      </c>
      <c r="K5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5"/>
    </row>
    <row r="56" spans="1:12" x14ac:dyDescent="0.25">
      <c r="A56">
        <v>55</v>
      </c>
      <c r="B56" t="s">
        <v>124</v>
      </c>
      <c r="C56" t="s">
        <v>125</v>
      </c>
      <c r="D56" t="s">
        <v>126</v>
      </c>
      <c r="E56" t="s">
        <v>127</v>
      </c>
      <c r="F56">
        <v>14</v>
      </c>
      <c r="G56">
        <v>65</v>
      </c>
      <c r="H56">
        <v>123</v>
      </c>
      <c r="I56">
        <v>300182</v>
      </c>
      <c r="J56">
        <f t="shared" si="1"/>
        <v>169651</v>
      </c>
      <c r="K5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6"/>
    </row>
    <row r="57" spans="1:12" x14ac:dyDescent="0.25">
      <c r="A57">
        <v>56</v>
      </c>
      <c r="B57" t="s">
        <v>460</v>
      </c>
      <c r="C57" t="s">
        <v>461</v>
      </c>
      <c r="D57" t="s">
        <v>462</v>
      </c>
      <c r="E57" t="s">
        <v>98</v>
      </c>
      <c r="F57">
        <v>48</v>
      </c>
      <c r="G57">
        <v>48</v>
      </c>
      <c r="H57">
        <v>7</v>
      </c>
      <c r="I57">
        <v>298801</v>
      </c>
      <c r="J57">
        <f t="shared" si="1"/>
        <v>169651</v>
      </c>
      <c r="K5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7"/>
    </row>
    <row r="58" spans="1:12" x14ac:dyDescent="0.25">
      <c r="A58">
        <v>57</v>
      </c>
      <c r="B58" t="s">
        <v>135</v>
      </c>
      <c r="C58" t="s">
        <v>136</v>
      </c>
      <c r="D58" t="s">
        <v>137</v>
      </c>
      <c r="E58" t="s">
        <v>138</v>
      </c>
      <c r="F58">
        <v>17</v>
      </c>
      <c r="G58">
        <v>70</v>
      </c>
      <c r="H58">
        <v>77</v>
      </c>
      <c r="I58">
        <v>296237</v>
      </c>
      <c r="J58">
        <f t="shared" si="1"/>
        <v>169651</v>
      </c>
      <c r="K5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45851</v>
      </c>
      <c r="L58"/>
    </row>
    <row r="59" spans="1:12" x14ac:dyDescent="0.25">
      <c r="A59">
        <v>58</v>
      </c>
      <c r="B59" t="s">
        <v>196</v>
      </c>
      <c r="C59" t="s">
        <v>197</v>
      </c>
      <c r="D59" t="s">
        <v>198</v>
      </c>
      <c r="E59" t="s">
        <v>199</v>
      </c>
      <c r="F59">
        <v>15</v>
      </c>
      <c r="G59">
        <v>49</v>
      </c>
      <c r="H59">
        <v>179</v>
      </c>
      <c r="I59">
        <v>296163</v>
      </c>
      <c r="J59">
        <f t="shared" si="1"/>
        <v>169651</v>
      </c>
      <c r="K5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9"/>
    </row>
    <row r="60" spans="1:12" x14ac:dyDescent="0.25">
      <c r="A60">
        <v>59</v>
      </c>
      <c r="B60" t="s">
        <v>166</v>
      </c>
      <c r="C60" t="s">
        <v>167</v>
      </c>
      <c r="D60" t="s">
        <v>168</v>
      </c>
      <c r="E60" t="s">
        <v>54</v>
      </c>
      <c r="F60">
        <v>1</v>
      </c>
      <c r="G60">
        <v>57</v>
      </c>
      <c r="H60">
        <v>285</v>
      </c>
      <c r="I60">
        <v>295081</v>
      </c>
      <c r="J60">
        <f t="shared" si="1"/>
        <v>169651</v>
      </c>
      <c r="K6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0"/>
    </row>
    <row r="61" spans="1:12" x14ac:dyDescent="0.25">
      <c r="A61">
        <v>60</v>
      </c>
      <c r="B61" t="s">
        <v>213</v>
      </c>
      <c r="C61" t="s">
        <v>93</v>
      </c>
      <c r="D61" t="s">
        <v>214</v>
      </c>
      <c r="E61" t="s">
        <v>24</v>
      </c>
      <c r="F61">
        <v>33</v>
      </c>
      <c r="G61">
        <v>56</v>
      </c>
      <c r="H61">
        <v>22</v>
      </c>
      <c r="I61">
        <v>289390</v>
      </c>
      <c r="J61">
        <f t="shared" si="1"/>
        <v>169651</v>
      </c>
      <c r="K6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1"/>
    </row>
    <row r="62" spans="1:12" x14ac:dyDescent="0.25">
      <c r="A62">
        <v>61</v>
      </c>
      <c r="B62" t="s">
        <v>264</v>
      </c>
      <c r="C62" t="s">
        <v>159</v>
      </c>
      <c r="D62" t="s">
        <v>265</v>
      </c>
      <c r="E62" t="s">
        <v>138</v>
      </c>
      <c r="F62">
        <v>4</v>
      </c>
      <c r="G62">
        <v>98</v>
      </c>
      <c r="H62">
        <v>327</v>
      </c>
      <c r="I62">
        <v>288526</v>
      </c>
      <c r="J62">
        <f t="shared" si="1"/>
        <v>169651</v>
      </c>
      <c r="K6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45652</v>
      </c>
      <c r="L62"/>
    </row>
    <row r="63" spans="1:12" x14ac:dyDescent="0.25">
      <c r="A63">
        <v>62</v>
      </c>
      <c r="B63" t="s">
        <v>3699</v>
      </c>
      <c r="C63" t="s">
        <v>3700</v>
      </c>
      <c r="D63" t="s">
        <v>3701</v>
      </c>
      <c r="E63" t="s">
        <v>3702</v>
      </c>
      <c r="F63">
        <v>46</v>
      </c>
      <c r="G63">
        <v>58</v>
      </c>
      <c r="H63">
        <v>12</v>
      </c>
      <c r="I63">
        <v>286124</v>
      </c>
      <c r="J63">
        <f t="shared" si="1"/>
        <v>169651</v>
      </c>
      <c r="K6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3"/>
    </row>
    <row r="64" spans="1:12" x14ac:dyDescent="0.25">
      <c r="A64">
        <v>63</v>
      </c>
      <c r="B64" t="s">
        <v>291</v>
      </c>
      <c r="C64" t="s">
        <v>292</v>
      </c>
      <c r="D64" t="s">
        <v>293</v>
      </c>
      <c r="E64" t="s">
        <v>183</v>
      </c>
      <c r="F64">
        <v>63</v>
      </c>
      <c r="G64">
        <v>74</v>
      </c>
      <c r="H64">
        <v>96</v>
      </c>
      <c r="I64">
        <v>285264</v>
      </c>
      <c r="J64">
        <f t="shared" si="1"/>
        <v>169651</v>
      </c>
      <c r="K6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64"/>
    </row>
    <row r="65" spans="1:12" x14ac:dyDescent="0.25">
      <c r="A65">
        <v>64</v>
      </c>
      <c r="B65" t="s">
        <v>176</v>
      </c>
      <c r="C65" t="s">
        <v>177</v>
      </c>
      <c r="D65" t="s">
        <v>178</v>
      </c>
      <c r="E65" t="s">
        <v>179</v>
      </c>
      <c r="F65">
        <v>22</v>
      </c>
      <c r="G65">
        <v>68</v>
      </c>
      <c r="H65">
        <v>136</v>
      </c>
      <c r="I65">
        <v>283583</v>
      </c>
      <c r="J65">
        <f t="shared" si="1"/>
        <v>169651</v>
      </c>
      <c r="K6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5"/>
    </row>
    <row r="66" spans="1:12" x14ac:dyDescent="0.25">
      <c r="A66">
        <v>65</v>
      </c>
      <c r="B66" t="s">
        <v>132</v>
      </c>
      <c r="C66" t="s">
        <v>133</v>
      </c>
      <c r="D66" t="s">
        <v>134</v>
      </c>
      <c r="E66" t="s">
        <v>77</v>
      </c>
      <c r="F66">
        <v>8</v>
      </c>
      <c r="G66">
        <v>61</v>
      </c>
      <c r="H66">
        <v>98</v>
      </c>
      <c r="I66">
        <v>283386</v>
      </c>
      <c r="J66">
        <f t="shared" ref="J66:J97" si="2">IFERROR(MIN(I:I),"-")</f>
        <v>169651</v>
      </c>
      <c r="K6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6"/>
    </row>
    <row r="67" spans="1:12" x14ac:dyDescent="0.25">
      <c r="A67">
        <v>66</v>
      </c>
      <c r="B67" t="s">
        <v>233</v>
      </c>
      <c r="C67" t="s">
        <v>234</v>
      </c>
      <c r="D67" t="s">
        <v>235</v>
      </c>
      <c r="E67" t="s">
        <v>12</v>
      </c>
      <c r="F67">
        <v>3</v>
      </c>
      <c r="G67">
        <v>60</v>
      </c>
      <c r="H67">
        <v>923</v>
      </c>
      <c r="I67">
        <v>277571</v>
      </c>
      <c r="J67">
        <f t="shared" si="2"/>
        <v>169651</v>
      </c>
      <c r="K6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7"/>
    </row>
    <row r="68" spans="1:12" x14ac:dyDescent="0.25">
      <c r="A68">
        <v>67</v>
      </c>
      <c r="B68" t="s">
        <v>143</v>
      </c>
      <c r="C68" t="s">
        <v>144</v>
      </c>
      <c r="D68" t="s">
        <v>145</v>
      </c>
      <c r="E68" t="s">
        <v>146</v>
      </c>
      <c r="F68">
        <v>32</v>
      </c>
      <c r="G68">
        <v>64</v>
      </c>
      <c r="H68">
        <v>60</v>
      </c>
      <c r="I68">
        <v>275933</v>
      </c>
      <c r="J68">
        <f t="shared" si="2"/>
        <v>169651</v>
      </c>
      <c r="K6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8"/>
    </row>
    <row r="69" spans="1:12" x14ac:dyDescent="0.25">
      <c r="A69">
        <v>68</v>
      </c>
      <c r="B69" t="s">
        <v>284</v>
      </c>
      <c r="C69" t="s">
        <v>285</v>
      </c>
      <c r="D69" t="s">
        <v>286</v>
      </c>
      <c r="E69" t="s">
        <v>67</v>
      </c>
      <c r="F69">
        <v>62</v>
      </c>
      <c r="G69">
        <v>62</v>
      </c>
      <c r="H69">
        <v>33</v>
      </c>
      <c r="I69">
        <v>275265</v>
      </c>
      <c r="J69">
        <f t="shared" si="2"/>
        <v>169651</v>
      </c>
      <c r="K6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9"/>
    </row>
    <row r="70" spans="1:12" x14ac:dyDescent="0.25">
      <c r="A70">
        <v>69</v>
      </c>
      <c r="B70" t="s">
        <v>200</v>
      </c>
      <c r="C70" t="s">
        <v>201</v>
      </c>
      <c r="D70" t="s">
        <v>202</v>
      </c>
      <c r="E70" t="s">
        <v>203</v>
      </c>
      <c r="F70">
        <v>7</v>
      </c>
      <c r="G70">
        <v>79</v>
      </c>
      <c r="H70">
        <v>200</v>
      </c>
      <c r="I70">
        <v>272842</v>
      </c>
      <c r="J70">
        <f t="shared" si="2"/>
        <v>169651</v>
      </c>
      <c r="K7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0"/>
    </row>
    <row r="71" spans="1:12" x14ac:dyDescent="0.25">
      <c r="A71">
        <v>70</v>
      </c>
      <c r="B71" t="s">
        <v>220</v>
      </c>
      <c r="C71" t="s">
        <v>46</v>
      </c>
      <c r="D71" t="s">
        <v>221</v>
      </c>
      <c r="E71" t="s">
        <v>12</v>
      </c>
      <c r="F71">
        <v>47</v>
      </c>
      <c r="G71">
        <v>78</v>
      </c>
      <c r="H71">
        <v>21</v>
      </c>
      <c r="I71">
        <v>271983</v>
      </c>
      <c r="J71">
        <f t="shared" si="2"/>
        <v>169651</v>
      </c>
      <c r="K7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1"/>
    </row>
    <row r="72" spans="1:12" x14ac:dyDescent="0.25">
      <c r="A72">
        <v>71</v>
      </c>
      <c r="B72" t="s">
        <v>4498</v>
      </c>
      <c r="C72" t="s">
        <v>4488</v>
      </c>
      <c r="D72" t="s">
        <v>4417</v>
      </c>
      <c r="E72" t="s">
        <v>88</v>
      </c>
      <c r="F72">
        <v>71</v>
      </c>
      <c r="G72">
        <v>86</v>
      </c>
      <c r="H72">
        <v>4</v>
      </c>
      <c r="I72">
        <v>271783</v>
      </c>
      <c r="J72">
        <f t="shared" si="2"/>
        <v>169651</v>
      </c>
      <c r="K7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72"/>
    </row>
    <row r="73" spans="1:12" x14ac:dyDescent="0.25">
      <c r="A73">
        <v>72</v>
      </c>
      <c r="B73" t="s">
        <v>85</v>
      </c>
      <c r="C73" t="s">
        <v>86</v>
      </c>
      <c r="D73" t="s">
        <v>87</v>
      </c>
      <c r="E73" t="s">
        <v>88</v>
      </c>
      <c r="F73">
        <v>4</v>
      </c>
      <c r="G73">
        <v>67</v>
      </c>
      <c r="H73">
        <v>127</v>
      </c>
      <c r="I73">
        <v>270590</v>
      </c>
      <c r="J73">
        <f t="shared" si="2"/>
        <v>169651</v>
      </c>
      <c r="K7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3"/>
    </row>
    <row r="74" spans="1:12" x14ac:dyDescent="0.25">
      <c r="A74">
        <v>73</v>
      </c>
      <c r="B74" t="s">
        <v>387</v>
      </c>
      <c r="C74" t="s">
        <v>388</v>
      </c>
      <c r="D74" t="s">
        <v>389</v>
      </c>
      <c r="E74" t="s">
        <v>388</v>
      </c>
      <c r="F74">
        <v>27</v>
      </c>
      <c r="G74">
        <v>73</v>
      </c>
      <c r="H74">
        <v>160</v>
      </c>
      <c r="I74">
        <v>269313</v>
      </c>
      <c r="J74">
        <f t="shared" si="2"/>
        <v>169651</v>
      </c>
      <c r="K7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4"/>
    </row>
    <row r="75" spans="1:12" x14ac:dyDescent="0.25">
      <c r="A75">
        <v>74</v>
      </c>
      <c r="B75" t="s">
        <v>114</v>
      </c>
      <c r="C75" t="s">
        <v>115</v>
      </c>
      <c r="D75" t="s">
        <v>116</v>
      </c>
      <c r="E75" t="s">
        <v>117</v>
      </c>
      <c r="F75">
        <v>4</v>
      </c>
      <c r="G75">
        <v>66</v>
      </c>
      <c r="H75">
        <v>94</v>
      </c>
      <c r="I75">
        <v>266826</v>
      </c>
      <c r="J75">
        <f t="shared" si="2"/>
        <v>169651</v>
      </c>
      <c r="K7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5"/>
    </row>
    <row r="76" spans="1:12" x14ac:dyDescent="0.25">
      <c r="A76">
        <v>75</v>
      </c>
      <c r="B76" t="s">
        <v>239</v>
      </c>
      <c r="C76" t="s">
        <v>240</v>
      </c>
      <c r="D76" t="s">
        <v>241</v>
      </c>
      <c r="E76" t="s">
        <v>88</v>
      </c>
      <c r="F76">
        <v>13</v>
      </c>
      <c r="G76">
        <v>87</v>
      </c>
      <c r="H76">
        <v>504</v>
      </c>
      <c r="I76">
        <v>265719</v>
      </c>
      <c r="J76">
        <f t="shared" si="2"/>
        <v>169651</v>
      </c>
      <c r="K7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6"/>
    </row>
    <row r="77" spans="1:12" x14ac:dyDescent="0.25">
      <c r="A77">
        <v>76</v>
      </c>
      <c r="B77" t="s">
        <v>287</v>
      </c>
      <c r="C77" t="s">
        <v>288</v>
      </c>
      <c r="D77" t="s">
        <v>289</v>
      </c>
      <c r="E77" t="s">
        <v>290</v>
      </c>
      <c r="F77">
        <v>61</v>
      </c>
      <c r="G77">
        <v>77</v>
      </c>
      <c r="H77">
        <v>95</v>
      </c>
      <c r="I77">
        <v>265098</v>
      </c>
      <c r="J77">
        <f t="shared" si="2"/>
        <v>169651</v>
      </c>
      <c r="K7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7"/>
    </row>
    <row r="78" spans="1:12" x14ac:dyDescent="0.25">
      <c r="A78">
        <v>77</v>
      </c>
      <c r="B78" t="s">
        <v>280</v>
      </c>
      <c r="C78" t="s">
        <v>281</v>
      </c>
      <c r="D78" t="s">
        <v>282</v>
      </c>
      <c r="E78" t="s">
        <v>283</v>
      </c>
      <c r="F78">
        <v>60</v>
      </c>
      <c r="G78">
        <v>85</v>
      </c>
      <c r="H78">
        <v>319</v>
      </c>
      <c r="I78">
        <v>262989</v>
      </c>
      <c r="J78">
        <f t="shared" si="2"/>
        <v>169651</v>
      </c>
      <c r="K7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8"/>
    </row>
    <row r="79" spans="1:12" x14ac:dyDescent="0.25">
      <c r="A79">
        <v>78</v>
      </c>
      <c r="B79" t="s">
        <v>184</v>
      </c>
      <c r="C79" t="s">
        <v>185</v>
      </c>
      <c r="D79" t="s">
        <v>186</v>
      </c>
      <c r="E79" t="s">
        <v>77</v>
      </c>
      <c r="F79">
        <v>41</v>
      </c>
      <c r="G79">
        <v>89</v>
      </c>
      <c r="H79">
        <v>1072</v>
      </c>
      <c r="I79">
        <v>262987</v>
      </c>
      <c r="J79">
        <f t="shared" si="2"/>
        <v>169651</v>
      </c>
      <c r="K7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9"/>
    </row>
    <row r="80" spans="1:12" x14ac:dyDescent="0.25">
      <c r="A80">
        <v>79</v>
      </c>
      <c r="B80" t="s">
        <v>254</v>
      </c>
      <c r="C80" t="s">
        <v>43</v>
      </c>
      <c r="D80" t="s">
        <v>255</v>
      </c>
      <c r="E80" t="s">
        <v>31</v>
      </c>
      <c r="F80">
        <v>25</v>
      </c>
      <c r="G80">
        <v>119</v>
      </c>
      <c r="H80">
        <v>1314</v>
      </c>
      <c r="I80">
        <v>262972</v>
      </c>
      <c r="J80">
        <f t="shared" si="2"/>
        <v>169651</v>
      </c>
      <c r="K8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0"/>
    </row>
    <row r="81" spans="1:12" x14ac:dyDescent="0.25">
      <c r="A81">
        <v>80</v>
      </c>
      <c r="B81" t="s">
        <v>236</v>
      </c>
      <c r="C81" t="s">
        <v>237</v>
      </c>
      <c r="D81" t="s">
        <v>238</v>
      </c>
      <c r="E81" t="s">
        <v>12</v>
      </c>
      <c r="F81">
        <v>36</v>
      </c>
      <c r="G81">
        <v>72</v>
      </c>
      <c r="H81">
        <v>27</v>
      </c>
      <c r="I81">
        <v>262618</v>
      </c>
      <c r="J81">
        <f t="shared" si="2"/>
        <v>169651</v>
      </c>
      <c r="K8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1"/>
    </row>
    <row r="82" spans="1:12" x14ac:dyDescent="0.25">
      <c r="A82">
        <v>81</v>
      </c>
      <c r="B82" t="s">
        <v>307</v>
      </c>
      <c r="C82" t="s">
        <v>29</v>
      </c>
      <c r="D82" t="s">
        <v>308</v>
      </c>
      <c r="E82" t="s">
        <v>31</v>
      </c>
      <c r="F82">
        <v>1</v>
      </c>
      <c r="G82">
        <v>128</v>
      </c>
      <c r="H82">
        <v>516</v>
      </c>
      <c r="I82">
        <v>261593</v>
      </c>
      <c r="J82">
        <f t="shared" si="2"/>
        <v>169651</v>
      </c>
      <c r="K8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2"/>
    </row>
    <row r="83" spans="1:12" x14ac:dyDescent="0.25">
      <c r="A83">
        <v>82</v>
      </c>
      <c r="B83" t="s">
        <v>4208</v>
      </c>
      <c r="C83" t="s">
        <v>4209</v>
      </c>
      <c r="D83" t="s">
        <v>4210</v>
      </c>
      <c r="E83" t="s">
        <v>4211</v>
      </c>
      <c r="F83">
        <v>50</v>
      </c>
      <c r="G83">
        <v>69</v>
      </c>
      <c r="H83">
        <v>8</v>
      </c>
      <c r="I83">
        <v>260403</v>
      </c>
      <c r="J83">
        <f t="shared" si="2"/>
        <v>169651</v>
      </c>
      <c r="K8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3"/>
    </row>
    <row r="84" spans="1:12" x14ac:dyDescent="0.25">
      <c r="A84">
        <v>83</v>
      </c>
      <c r="B84" t="s">
        <v>242</v>
      </c>
      <c r="C84" t="s">
        <v>243</v>
      </c>
      <c r="D84" t="s">
        <v>244</v>
      </c>
      <c r="E84" t="s">
        <v>245</v>
      </c>
      <c r="F84">
        <v>2</v>
      </c>
      <c r="G84">
        <v>84</v>
      </c>
      <c r="H84">
        <v>340</v>
      </c>
      <c r="I84">
        <v>258766</v>
      </c>
      <c r="J84">
        <f t="shared" si="2"/>
        <v>169651</v>
      </c>
      <c r="K8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4"/>
    </row>
    <row r="85" spans="1:12" x14ac:dyDescent="0.25">
      <c r="A85">
        <v>84</v>
      </c>
      <c r="B85" t="s">
        <v>229</v>
      </c>
      <c r="C85" t="s">
        <v>230</v>
      </c>
      <c r="D85" t="s">
        <v>231</v>
      </c>
      <c r="E85" t="s">
        <v>232</v>
      </c>
      <c r="F85">
        <v>4</v>
      </c>
      <c r="G85">
        <v>83</v>
      </c>
      <c r="H85">
        <v>385</v>
      </c>
      <c r="I85">
        <v>257888</v>
      </c>
      <c r="J85">
        <f t="shared" si="2"/>
        <v>169651</v>
      </c>
      <c r="K8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5"/>
    </row>
    <row r="86" spans="1:12" x14ac:dyDescent="0.25">
      <c r="A86">
        <v>85</v>
      </c>
      <c r="B86" t="s">
        <v>211</v>
      </c>
      <c r="C86" t="s">
        <v>58</v>
      </c>
      <c r="D86" t="s">
        <v>212</v>
      </c>
      <c r="E86" t="s">
        <v>60</v>
      </c>
      <c r="F86">
        <v>13</v>
      </c>
      <c r="G86">
        <v>82</v>
      </c>
      <c r="H86">
        <v>70</v>
      </c>
      <c r="I86">
        <v>254359</v>
      </c>
      <c r="J86">
        <f t="shared" si="2"/>
        <v>169651</v>
      </c>
      <c r="K8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6"/>
    </row>
    <row r="87" spans="1:12" x14ac:dyDescent="0.25">
      <c r="A87">
        <v>86</v>
      </c>
      <c r="B87" t="s">
        <v>424</v>
      </c>
      <c r="C87" t="s">
        <v>425</v>
      </c>
      <c r="D87" t="s">
        <v>426</v>
      </c>
      <c r="E87" t="s">
        <v>427</v>
      </c>
      <c r="F87">
        <v>63</v>
      </c>
      <c r="G87">
        <v>97</v>
      </c>
      <c r="H87">
        <v>124</v>
      </c>
      <c r="I87">
        <v>253600</v>
      </c>
      <c r="J87">
        <f t="shared" si="2"/>
        <v>169651</v>
      </c>
      <c r="K8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7"/>
    </row>
    <row r="88" spans="1:12" x14ac:dyDescent="0.25">
      <c r="A88">
        <v>87</v>
      </c>
      <c r="B88" t="s">
        <v>172</v>
      </c>
      <c r="C88" t="s">
        <v>173</v>
      </c>
      <c r="D88" t="s">
        <v>174</v>
      </c>
      <c r="E88" t="s">
        <v>175</v>
      </c>
      <c r="F88">
        <v>13</v>
      </c>
      <c r="G88">
        <v>80</v>
      </c>
      <c r="H88">
        <v>128</v>
      </c>
      <c r="I88">
        <v>253043</v>
      </c>
      <c r="J88">
        <f t="shared" si="2"/>
        <v>169651</v>
      </c>
      <c r="K8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8"/>
    </row>
    <row r="89" spans="1:12" x14ac:dyDescent="0.25">
      <c r="A89">
        <v>88</v>
      </c>
      <c r="B89" t="s">
        <v>180</v>
      </c>
      <c r="C89" t="s">
        <v>181</v>
      </c>
      <c r="D89" t="s">
        <v>182</v>
      </c>
      <c r="E89" t="s">
        <v>183</v>
      </c>
      <c r="F89">
        <v>7</v>
      </c>
      <c r="G89">
        <v>76</v>
      </c>
      <c r="H89">
        <v>156</v>
      </c>
      <c r="I89">
        <v>252669</v>
      </c>
      <c r="J89">
        <f t="shared" si="2"/>
        <v>169651</v>
      </c>
      <c r="K8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9"/>
    </row>
    <row r="90" spans="1:12" x14ac:dyDescent="0.25">
      <c r="A90">
        <v>89</v>
      </c>
      <c r="B90" t="s">
        <v>367</v>
      </c>
      <c r="C90" t="s">
        <v>368</v>
      </c>
      <c r="D90" t="s">
        <v>369</v>
      </c>
      <c r="E90" t="s">
        <v>370</v>
      </c>
      <c r="F90">
        <v>63</v>
      </c>
      <c r="G90">
        <v>93</v>
      </c>
      <c r="H90">
        <v>675</v>
      </c>
      <c r="I90">
        <v>252269</v>
      </c>
      <c r="J90">
        <f t="shared" si="2"/>
        <v>169651</v>
      </c>
      <c r="K9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0"/>
    </row>
    <row r="91" spans="1:12" x14ac:dyDescent="0.25">
      <c r="A91">
        <v>90</v>
      </c>
      <c r="B91" t="s">
        <v>362</v>
      </c>
      <c r="C91" t="s">
        <v>363</v>
      </c>
      <c r="D91" t="s">
        <v>364</v>
      </c>
      <c r="E91" t="s">
        <v>131</v>
      </c>
      <c r="F91">
        <v>67</v>
      </c>
      <c r="G91">
        <v>95</v>
      </c>
      <c r="H91">
        <v>73</v>
      </c>
      <c r="I91">
        <v>248305</v>
      </c>
      <c r="J91">
        <f t="shared" si="2"/>
        <v>169651</v>
      </c>
      <c r="K9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1"/>
    </row>
    <row r="92" spans="1:12" x14ac:dyDescent="0.25">
      <c r="A92">
        <v>91</v>
      </c>
      <c r="B92" t="s">
        <v>272</v>
      </c>
      <c r="C92" t="s">
        <v>273</v>
      </c>
      <c r="D92" t="s">
        <v>274</v>
      </c>
      <c r="E92" t="s">
        <v>275</v>
      </c>
      <c r="F92">
        <v>66</v>
      </c>
      <c r="G92">
        <v>91</v>
      </c>
      <c r="H92">
        <v>57</v>
      </c>
      <c r="I92">
        <v>247425</v>
      </c>
      <c r="J92">
        <f t="shared" si="2"/>
        <v>169651</v>
      </c>
      <c r="K9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2"/>
    </row>
    <row r="93" spans="1:12" x14ac:dyDescent="0.25">
      <c r="A93">
        <v>92</v>
      </c>
      <c r="B93" t="s">
        <v>208</v>
      </c>
      <c r="C93" t="s">
        <v>209</v>
      </c>
      <c r="D93" t="s">
        <v>210</v>
      </c>
      <c r="E93" t="s">
        <v>67</v>
      </c>
      <c r="F93">
        <v>24</v>
      </c>
      <c r="G93">
        <v>100</v>
      </c>
      <c r="H93">
        <v>91</v>
      </c>
      <c r="I93">
        <v>246366</v>
      </c>
      <c r="J93">
        <f t="shared" si="2"/>
        <v>169651</v>
      </c>
      <c r="K9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3"/>
    </row>
    <row r="94" spans="1:12" x14ac:dyDescent="0.25">
      <c r="A94">
        <v>93</v>
      </c>
      <c r="B94" t="s">
        <v>4672</v>
      </c>
      <c r="C94" t="s">
        <v>641</v>
      </c>
      <c r="D94" t="s">
        <v>4626</v>
      </c>
      <c r="E94" t="s">
        <v>232</v>
      </c>
      <c r="F94">
        <v>40</v>
      </c>
      <c r="G94">
        <v>40</v>
      </c>
      <c r="H94">
        <v>2</v>
      </c>
      <c r="I94">
        <v>245722</v>
      </c>
      <c r="J94">
        <f t="shared" si="2"/>
        <v>169651</v>
      </c>
      <c r="K9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4"/>
    </row>
    <row r="95" spans="1:12" x14ac:dyDescent="0.25">
      <c r="A95">
        <v>94</v>
      </c>
      <c r="B95" t="s">
        <v>312</v>
      </c>
      <c r="C95" t="s">
        <v>313</v>
      </c>
      <c r="D95" t="s">
        <v>314</v>
      </c>
      <c r="E95" t="s">
        <v>228</v>
      </c>
      <c r="F95">
        <v>85</v>
      </c>
      <c r="G95">
        <v>90</v>
      </c>
      <c r="H95">
        <v>39</v>
      </c>
      <c r="I95">
        <v>245293</v>
      </c>
      <c r="J95">
        <f t="shared" si="2"/>
        <v>169651</v>
      </c>
      <c r="K9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5"/>
    </row>
    <row r="96" spans="1:12" x14ac:dyDescent="0.25">
      <c r="A96">
        <v>95</v>
      </c>
      <c r="B96" t="s">
        <v>876</v>
      </c>
      <c r="C96" t="s">
        <v>877</v>
      </c>
      <c r="D96" t="s">
        <v>878</v>
      </c>
      <c r="E96" t="s">
        <v>879</v>
      </c>
      <c r="F96">
        <v>95</v>
      </c>
      <c r="G96">
        <v>102</v>
      </c>
      <c r="H96">
        <v>11</v>
      </c>
      <c r="I96">
        <v>244786</v>
      </c>
      <c r="J96">
        <f t="shared" si="2"/>
        <v>169651</v>
      </c>
      <c r="K96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96"/>
    </row>
    <row r="97" spans="1:12" x14ac:dyDescent="0.25">
      <c r="A97">
        <v>96</v>
      </c>
      <c r="B97" t="s">
        <v>441</v>
      </c>
      <c r="C97" t="s">
        <v>442</v>
      </c>
      <c r="D97" t="s">
        <v>443</v>
      </c>
      <c r="E97" t="s">
        <v>12</v>
      </c>
      <c r="F97">
        <v>8</v>
      </c>
      <c r="G97">
        <v>138</v>
      </c>
      <c r="H97">
        <v>362</v>
      </c>
      <c r="I97">
        <v>243252</v>
      </c>
      <c r="J97">
        <f t="shared" si="2"/>
        <v>169651</v>
      </c>
      <c r="K9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7"/>
    </row>
    <row r="98" spans="1:12" x14ac:dyDescent="0.25">
      <c r="A98">
        <v>97</v>
      </c>
      <c r="B98" t="s">
        <v>246</v>
      </c>
      <c r="C98" t="s">
        <v>247</v>
      </c>
      <c r="D98" t="s">
        <v>248</v>
      </c>
      <c r="E98" t="s">
        <v>12</v>
      </c>
      <c r="F98">
        <v>35</v>
      </c>
      <c r="G98">
        <v>96</v>
      </c>
      <c r="H98">
        <v>147</v>
      </c>
      <c r="I98">
        <v>241715</v>
      </c>
      <c r="J98">
        <f t="shared" ref="J98:J129" si="3">IFERROR(MIN(I:I),"-")</f>
        <v>169651</v>
      </c>
      <c r="K9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8"/>
    </row>
    <row r="99" spans="1:12" x14ac:dyDescent="0.25">
      <c r="A99">
        <v>98</v>
      </c>
      <c r="B99" t="s">
        <v>4298</v>
      </c>
      <c r="C99" t="s">
        <v>496</v>
      </c>
      <c r="D99" t="s">
        <v>1132</v>
      </c>
      <c r="E99" t="s">
        <v>1133</v>
      </c>
      <c r="F99">
        <v>30</v>
      </c>
      <c r="G99">
        <v>81</v>
      </c>
      <c r="H99">
        <v>69</v>
      </c>
      <c r="I99">
        <v>241056</v>
      </c>
      <c r="J99">
        <f t="shared" si="3"/>
        <v>169651</v>
      </c>
      <c r="K9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9"/>
    </row>
    <row r="100" spans="1:12" x14ac:dyDescent="0.25">
      <c r="A100">
        <v>99</v>
      </c>
      <c r="B100" t="s">
        <v>297</v>
      </c>
      <c r="C100" t="s">
        <v>298</v>
      </c>
      <c r="D100" t="s">
        <v>299</v>
      </c>
      <c r="E100" t="s">
        <v>67</v>
      </c>
      <c r="F100">
        <v>12</v>
      </c>
      <c r="G100">
        <v>118</v>
      </c>
      <c r="H100">
        <v>420</v>
      </c>
      <c r="I100">
        <v>240728</v>
      </c>
      <c r="J100">
        <f t="shared" si="3"/>
        <v>169651</v>
      </c>
      <c r="K10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0"/>
    </row>
    <row r="101" spans="1:12" x14ac:dyDescent="0.25">
      <c r="A101">
        <v>100</v>
      </c>
      <c r="B101" t="s">
        <v>1055</v>
      </c>
      <c r="C101" t="s">
        <v>266</v>
      </c>
      <c r="D101" t="s">
        <v>267</v>
      </c>
      <c r="E101" t="s">
        <v>268</v>
      </c>
      <c r="F101">
        <v>76</v>
      </c>
      <c r="G101">
        <v>99</v>
      </c>
      <c r="H101">
        <v>69</v>
      </c>
      <c r="I101">
        <v>240478</v>
      </c>
      <c r="J101">
        <f t="shared" si="3"/>
        <v>169651</v>
      </c>
      <c r="K10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1"/>
    </row>
    <row r="102" spans="1:12" x14ac:dyDescent="0.25">
      <c r="A102">
        <v>101</v>
      </c>
      <c r="B102" t="s">
        <v>446</v>
      </c>
      <c r="C102" t="s">
        <v>447</v>
      </c>
      <c r="D102" t="s">
        <v>448</v>
      </c>
      <c r="E102" t="s">
        <v>67</v>
      </c>
      <c r="F102">
        <v>9</v>
      </c>
      <c r="G102">
        <v>121</v>
      </c>
      <c r="H102">
        <v>746</v>
      </c>
      <c r="I102">
        <v>240309</v>
      </c>
      <c r="J102">
        <f t="shared" si="3"/>
        <v>169651</v>
      </c>
      <c r="K10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2"/>
    </row>
    <row r="103" spans="1:12" x14ac:dyDescent="0.25">
      <c r="A103">
        <v>102</v>
      </c>
      <c r="B103" t="s">
        <v>225</v>
      </c>
      <c r="C103" t="s">
        <v>226</v>
      </c>
      <c r="D103" t="s">
        <v>227</v>
      </c>
      <c r="E103" t="s">
        <v>228</v>
      </c>
      <c r="F103">
        <v>25</v>
      </c>
      <c r="G103">
        <v>75</v>
      </c>
      <c r="H103">
        <v>82</v>
      </c>
      <c r="I103">
        <v>238458</v>
      </c>
      <c r="J103">
        <f t="shared" si="3"/>
        <v>169651</v>
      </c>
      <c r="K10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3"/>
    </row>
    <row r="104" spans="1:12" x14ac:dyDescent="0.25">
      <c r="A104">
        <v>103</v>
      </c>
      <c r="B104" t="s">
        <v>325</v>
      </c>
      <c r="C104" t="s">
        <v>326</v>
      </c>
      <c r="D104" t="s">
        <v>327</v>
      </c>
      <c r="E104" t="s">
        <v>24</v>
      </c>
      <c r="F104">
        <v>56</v>
      </c>
      <c r="G104">
        <v>103</v>
      </c>
      <c r="H104">
        <v>312</v>
      </c>
      <c r="I104">
        <v>236660</v>
      </c>
      <c r="J104">
        <f t="shared" si="3"/>
        <v>169651</v>
      </c>
      <c r="K10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4"/>
    </row>
    <row r="105" spans="1:12" x14ac:dyDescent="0.25">
      <c r="A105">
        <v>104</v>
      </c>
      <c r="B105" t="s">
        <v>338</v>
      </c>
      <c r="C105" t="s">
        <v>339</v>
      </c>
      <c r="D105" t="s">
        <v>340</v>
      </c>
      <c r="E105" t="s">
        <v>341</v>
      </c>
      <c r="F105">
        <v>64</v>
      </c>
      <c r="G105">
        <v>112</v>
      </c>
      <c r="H105">
        <v>998</v>
      </c>
      <c r="I105">
        <v>235875</v>
      </c>
      <c r="J105">
        <f t="shared" si="3"/>
        <v>169651</v>
      </c>
      <c r="K10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5"/>
    </row>
    <row r="106" spans="1:12" x14ac:dyDescent="0.25">
      <c r="A106">
        <v>105</v>
      </c>
      <c r="B106" t="s">
        <v>390</v>
      </c>
      <c r="C106" t="s">
        <v>391</v>
      </c>
      <c r="D106" t="s">
        <v>392</v>
      </c>
      <c r="E106" t="s">
        <v>393</v>
      </c>
      <c r="F106">
        <v>6</v>
      </c>
      <c r="G106">
        <v>132</v>
      </c>
      <c r="H106">
        <v>350</v>
      </c>
      <c r="I106">
        <v>234806</v>
      </c>
      <c r="J106">
        <f t="shared" si="3"/>
        <v>169651</v>
      </c>
      <c r="K10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6"/>
    </row>
    <row r="107" spans="1:12" x14ac:dyDescent="0.25">
      <c r="A107">
        <v>106</v>
      </c>
      <c r="B107" t="s">
        <v>431</v>
      </c>
      <c r="C107" t="s">
        <v>43</v>
      </c>
      <c r="D107" t="s">
        <v>432</v>
      </c>
      <c r="E107" t="s">
        <v>31</v>
      </c>
      <c r="F107">
        <v>43</v>
      </c>
      <c r="G107">
        <v>141</v>
      </c>
      <c r="H107">
        <v>918</v>
      </c>
      <c r="I107">
        <v>231825</v>
      </c>
      <c r="J107">
        <f t="shared" si="3"/>
        <v>169651</v>
      </c>
      <c r="K10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7"/>
    </row>
    <row r="108" spans="1:12" x14ac:dyDescent="0.25">
      <c r="A108">
        <v>107</v>
      </c>
      <c r="B108" t="s">
        <v>435</v>
      </c>
      <c r="C108" t="s">
        <v>436</v>
      </c>
      <c r="D108" t="s">
        <v>437</v>
      </c>
      <c r="E108" t="s">
        <v>436</v>
      </c>
      <c r="F108">
        <v>82</v>
      </c>
      <c r="G108">
        <v>106</v>
      </c>
      <c r="H108">
        <v>83</v>
      </c>
      <c r="I108">
        <v>230870</v>
      </c>
      <c r="J108">
        <f t="shared" si="3"/>
        <v>169651</v>
      </c>
      <c r="K10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8"/>
    </row>
    <row r="109" spans="1:12" x14ac:dyDescent="0.25">
      <c r="A109">
        <v>108</v>
      </c>
      <c r="B109" t="s">
        <v>249</v>
      </c>
      <c r="C109" t="s">
        <v>250</v>
      </c>
      <c r="D109" t="s">
        <v>251</v>
      </c>
      <c r="E109" t="s">
        <v>24</v>
      </c>
      <c r="F109">
        <v>10</v>
      </c>
      <c r="G109">
        <v>88</v>
      </c>
      <c r="H109">
        <v>620</v>
      </c>
      <c r="I109">
        <v>230562</v>
      </c>
      <c r="J109">
        <f t="shared" si="3"/>
        <v>169651</v>
      </c>
      <c r="K10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9"/>
    </row>
    <row r="110" spans="1:12" x14ac:dyDescent="0.25">
      <c r="A110">
        <v>109</v>
      </c>
      <c r="B110" t="s">
        <v>358</v>
      </c>
      <c r="C110" t="s">
        <v>316</v>
      </c>
      <c r="D110" t="s">
        <v>359</v>
      </c>
      <c r="E110" t="s">
        <v>88</v>
      </c>
      <c r="F110">
        <v>67</v>
      </c>
      <c r="G110">
        <v>71</v>
      </c>
      <c r="H110">
        <v>68</v>
      </c>
      <c r="I110">
        <v>230423</v>
      </c>
      <c r="J110">
        <f t="shared" si="3"/>
        <v>169651</v>
      </c>
      <c r="K11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0"/>
    </row>
    <row r="111" spans="1:12" x14ac:dyDescent="0.25">
      <c r="A111">
        <v>110</v>
      </c>
      <c r="B111" t="s">
        <v>190</v>
      </c>
      <c r="C111" t="s">
        <v>191</v>
      </c>
      <c r="D111" t="s">
        <v>192</v>
      </c>
      <c r="E111" t="s">
        <v>193</v>
      </c>
      <c r="F111">
        <v>1</v>
      </c>
      <c r="G111">
        <v>108</v>
      </c>
      <c r="H111">
        <v>146</v>
      </c>
      <c r="I111">
        <v>230333</v>
      </c>
      <c r="J111">
        <f t="shared" si="3"/>
        <v>169651</v>
      </c>
      <c r="K11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1"/>
    </row>
    <row r="112" spans="1:12" x14ac:dyDescent="0.25">
      <c r="A112">
        <v>111</v>
      </c>
      <c r="B112" t="s">
        <v>318</v>
      </c>
      <c r="C112" t="s">
        <v>319</v>
      </c>
      <c r="D112" t="s">
        <v>320</v>
      </c>
      <c r="E112" t="s">
        <v>321</v>
      </c>
      <c r="F112">
        <v>46</v>
      </c>
      <c r="G112">
        <v>92</v>
      </c>
      <c r="H112">
        <v>39</v>
      </c>
      <c r="I112">
        <v>229183</v>
      </c>
      <c r="J112">
        <f t="shared" si="3"/>
        <v>169651</v>
      </c>
      <c r="K11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2"/>
    </row>
    <row r="113" spans="1:12" x14ac:dyDescent="0.25">
      <c r="A113">
        <v>112</v>
      </c>
      <c r="B113" t="s">
        <v>309</v>
      </c>
      <c r="C113" t="s">
        <v>310</v>
      </c>
      <c r="D113" t="s">
        <v>311</v>
      </c>
      <c r="E113" t="s">
        <v>67</v>
      </c>
      <c r="F113">
        <v>13</v>
      </c>
      <c r="G113">
        <v>105</v>
      </c>
      <c r="H113">
        <v>273</v>
      </c>
      <c r="I113">
        <v>227484</v>
      </c>
      <c r="J113">
        <f t="shared" si="3"/>
        <v>169651</v>
      </c>
      <c r="K11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3"/>
    </row>
    <row r="114" spans="1:12" x14ac:dyDescent="0.25">
      <c r="A114">
        <v>113</v>
      </c>
      <c r="B114" t="s">
        <v>1053</v>
      </c>
      <c r="C114" t="s">
        <v>33</v>
      </c>
      <c r="D114" t="s">
        <v>1054</v>
      </c>
      <c r="E114" t="s">
        <v>12</v>
      </c>
      <c r="F114">
        <v>62</v>
      </c>
      <c r="G114">
        <v>131</v>
      </c>
      <c r="H114">
        <v>39</v>
      </c>
      <c r="I114">
        <v>227424</v>
      </c>
      <c r="J114">
        <f t="shared" si="3"/>
        <v>169651</v>
      </c>
      <c r="K11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4"/>
    </row>
    <row r="115" spans="1:12" x14ac:dyDescent="0.25">
      <c r="A115">
        <v>114</v>
      </c>
      <c r="B115" t="s">
        <v>1056</v>
      </c>
      <c r="C115" t="s">
        <v>298</v>
      </c>
      <c r="D115" t="s">
        <v>1057</v>
      </c>
      <c r="E115" t="s">
        <v>67</v>
      </c>
      <c r="F115">
        <v>69</v>
      </c>
      <c r="G115">
        <v>101</v>
      </c>
      <c r="H115">
        <v>14</v>
      </c>
      <c r="I115">
        <v>226561</v>
      </c>
      <c r="J115">
        <f t="shared" si="3"/>
        <v>169651</v>
      </c>
      <c r="K11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5"/>
    </row>
    <row r="116" spans="1:12" x14ac:dyDescent="0.25">
      <c r="A116">
        <v>115</v>
      </c>
      <c r="B116" t="s">
        <v>276</v>
      </c>
      <c r="C116" t="s">
        <v>277</v>
      </c>
      <c r="D116" t="s">
        <v>278</v>
      </c>
      <c r="E116" t="s">
        <v>279</v>
      </c>
      <c r="F116">
        <v>74</v>
      </c>
      <c r="G116">
        <v>114</v>
      </c>
      <c r="H116">
        <v>162</v>
      </c>
      <c r="I116">
        <v>226269</v>
      </c>
      <c r="J116">
        <f t="shared" si="3"/>
        <v>169651</v>
      </c>
      <c r="K11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6"/>
    </row>
    <row r="117" spans="1:12" x14ac:dyDescent="0.25">
      <c r="A117">
        <v>116</v>
      </c>
      <c r="B117" t="s">
        <v>322</v>
      </c>
      <c r="C117" t="s">
        <v>323</v>
      </c>
      <c r="D117" t="s">
        <v>324</v>
      </c>
      <c r="E117" t="s">
        <v>88</v>
      </c>
      <c r="F117">
        <v>66</v>
      </c>
      <c r="G117">
        <v>104</v>
      </c>
      <c r="H117">
        <v>47</v>
      </c>
      <c r="I117">
        <v>226206</v>
      </c>
      <c r="J117">
        <f t="shared" si="3"/>
        <v>169651</v>
      </c>
      <c r="K11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7"/>
    </row>
    <row r="118" spans="1:12" x14ac:dyDescent="0.25">
      <c r="A118">
        <v>117</v>
      </c>
      <c r="B118" t="s">
        <v>4346</v>
      </c>
      <c r="C118" t="s">
        <v>864</v>
      </c>
      <c r="D118" t="s">
        <v>4347</v>
      </c>
      <c r="E118" t="s">
        <v>2420</v>
      </c>
      <c r="F118">
        <v>103</v>
      </c>
      <c r="G118">
        <v>107</v>
      </c>
      <c r="H118">
        <v>6</v>
      </c>
      <c r="I118">
        <v>222738</v>
      </c>
      <c r="J118">
        <f t="shared" si="3"/>
        <v>169651</v>
      </c>
      <c r="K11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8"/>
    </row>
    <row r="119" spans="1:12" x14ac:dyDescent="0.25">
      <c r="A119">
        <v>118</v>
      </c>
      <c r="B119" t="s">
        <v>354</v>
      </c>
      <c r="C119" t="s">
        <v>36</v>
      </c>
      <c r="D119" t="s">
        <v>355</v>
      </c>
      <c r="E119" t="s">
        <v>12</v>
      </c>
      <c r="F119">
        <v>56</v>
      </c>
      <c r="G119">
        <v>115</v>
      </c>
      <c r="H119">
        <v>74</v>
      </c>
      <c r="I119">
        <v>222464</v>
      </c>
      <c r="J119">
        <f t="shared" si="3"/>
        <v>169651</v>
      </c>
      <c r="K11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9"/>
    </row>
    <row r="120" spans="1:12" x14ac:dyDescent="0.25">
      <c r="A120">
        <v>119</v>
      </c>
      <c r="B120" t="s">
        <v>4343</v>
      </c>
      <c r="C120" t="s">
        <v>4344</v>
      </c>
      <c r="D120" t="s">
        <v>4345</v>
      </c>
      <c r="E120" t="s">
        <v>24</v>
      </c>
      <c r="F120">
        <v>109</v>
      </c>
      <c r="G120">
        <v>109</v>
      </c>
      <c r="H120">
        <v>6</v>
      </c>
      <c r="I120">
        <v>221926</v>
      </c>
      <c r="J120">
        <f t="shared" si="3"/>
        <v>169651</v>
      </c>
      <c r="K12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0"/>
    </row>
    <row r="121" spans="1:12" x14ac:dyDescent="0.25">
      <c r="A121">
        <v>120</v>
      </c>
      <c r="B121" t="s">
        <v>328</v>
      </c>
      <c r="C121" t="s">
        <v>329</v>
      </c>
      <c r="D121" t="s">
        <v>330</v>
      </c>
      <c r="E121" t="s">
        <v>268</v>
      </c>
      <c r="F121">
        <v>16</v>
      </c>
      <c r="G121">
        <v>113</v>
      </c>
      <c r="H121">
        <v>395</v>
      </c>
      <c r="I121">
        <v>221721</v>
      </c>
      <c r="J121">
        <f t="shared" si="3"/>
        <v>169651</v>
      </c>
      <c r="K12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1"/>
    </row>
    <row r="122" spans="1:12" x14ac:dyDescent="0.25">
      <c r="A122">
        <v>121</v>
      </c>
      <c r="B122" t="s">
        <v>380</v>
      </c>
      <c r="C122" t="s">
        <v>381</v>
      </c>
      <c r="D122" t="s">
        <v>382</v>
      </c>
      <c r="E122" t="s">
        <v>268</v>
      </c>
      <c r="F122">
        <v>55</v>
      </c>
      <c r="G122">
        <v>143</v>
      </c>
      <c r="H122">
        <v>547</v>
      </c>
      <c r="I122">
        <v>220942</v>
      </c>
      <c r="J122">
        <f t="shared" si="3"/>
        <v>169651</v>
      </c>
      <c r="K12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2"/>
    </row>
    <row r="123" spans="1:12" x14ac:dyDescent="0.25">
      <c r="A123">
        <v>122</v>
      </c>
      <c r="B123" t="s">
        <v>1104</v>
      </c>
      <c r="C123" t="s">
        <v>1105</v>
      </c>
      <c r="D123" t="s">
        <v>1106</v>
      </c>
      <c r="E123" t="s">
        <v>303</v>
      </c>
      <c r="F123">
        <v>5</v>
      </c>
      <c r="G123">
        <v>136</v>
      </c>
      <c r="H123">
        <v>399</v>
      </c>
      <c r="I123">
        <v>220264</v>
      </c>
      <c r="J123">
        <f t="shared" si="3"/>
        <v>169651</v>
      </c>
      <c r="K12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3"/>
    </row>
    <row r="124" spans="1:12" x14ac:dyDescent="0.25">
      <c r="A124">
        <v>123</v>
      </c>
      <c r="B124" t="s">
        <v>269</v>
      </c>
      <c r="C124" t="s">
        <v>270</v>
      </c>
      <c r="D124" t="s">
        <v>271</v>
      </c>
      <c r="E124" t="s">
        <v>24</v>
      </c>
      <c r="F124">
        <v>35</v>
      </c>
      <c r="G124">
        <v>124</v>
      </c>
      <c r="H124">
        <v>71</v>
      </c>
      <c r="I124">
        <v>219557</v>
      </c>
      <c r="J124">
        <f t="shared" si="3"/>
        <v>169651</v>
      </c>
      <c r="K12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4"/>
    </row>
    <row r="125" spans="1:12" x14ac:dyDescent="0.25">
      <c r="A125">
        <v>124</v>
      </c>
      <c r="B125" t="s">
        <v>4496</v>
      </c>
      <c r="C125" t="s">
        <v>4497</v>
      </c>
      <c r="D125" t="s">
        <v>1080</v>
      </c>
      <c r="E125" t="s">
        <v>88</v>
      </c>
      <c r="F125">
        <v>94</v>
      </c>
      <c r="G125">
        <v>94</v>
      </c>
      <c r="H125">
        <v>68</v>
      </c>
      <c r="I125">
        <v>218794</v>
      </c>
      <c r="J125">
        <f t="shared" si="3"/>
        <v>169651</v>
      </c>
      <c r="K12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5"/>
    </row>
    <row r="126" spans="1:12" x14ac:dyDescent="0.25">
      <c r="A126">
        <v>125</v>
      </c>
      <c r="B126" t="s">
        <v>371</v>
      </c>
      <c r="C126" t="s">
        <v>372</v>
      </c>
      <c r="D126" t="s">
        <v>373</v>
      </c>
      <c r="E126" t="s">
        <v>67</v>
      </c>
      <c r="F126">
        <v>2</v>
      </c>
      <c r="G126">
        <v>127</v>
      </c>
      <c r="H126">
        <v>675</v>
      </c>
      <c r="I126">
        <v>218003</v>
      </c>
      <c r="J126">
        <f t="shared" si="3"/>
        <v>169651</v>
      </c>
      <c r="K12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6"/>
    </row>
    <row r="127" spans="1:12" x14ac:dyDescent="0.25">
      <c r="A127">
        <v>126</v>
      </c>
      <c r="B127" t="s">
        <v>2413</v>
      </c>
      <c r="C127" t="s">
        <v>129</v>
      </c>
      <c r="D127" t="s">
        <v>2414</v>
      </c>
      <c r="E127" t="s">
        <v>131</v>
      </c>
      <c r="F127">
        <v>75</v>
      </c>
      <c r="G127">
        <v>139</v>
      </c>
      <c r="H127">
        <v>206</v>
      </c>
      <c r="I127">
        <v>217925</v>
      </c>
      <c r="J127">
        <f t="shared" si="3"/>
        <v>169651</v>
      </c>
      <c r="K12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7"/>
    </row>
    <row r="128" spans="1:12" x14ac:dyDescent="0.25">
      <c r="A128">
        <v>127</v>
      </c>
      <c r="B128" t="s">
        <v>4204</v>
      </c>
      <c r="C128" t="s">
        <v>159</v>
      </c>
      <c r="D128" t="s">
        <v>4205</v>
      </c>
      <c r="E128" t="s">
        <v>138</v>
      </c>
      <c r="F128">
        <v>123</v>
      </c>
      <c r="G128">
        <v>125</v>
      </c>
      <c r="H128">
        <v>11</v>
      </c>
      <c r="I128">
        <v>216531</v>
      </c>
      <c r="J128">
        <f t="shared" si="3"/>
        <v>169651</v>
      </c>
      <c r="K12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45897</v>
      </c>
      <c r="L128"/>
    </row>
    <row r="129" spans="1:12" x14ac:dyDescent="0.25">
      <c r="A129">
        <v>128</v>
      </c>
      <c r="B129" t="s">
        <v>1097</v>
      </c>
      <c r="C129" t="s">
        <v>1098</v>
      </c>
      <c r="D129" t="s">
        <v>1099</v>
      </c>
      <c r="E129" t="s">
        <v>1019</v>
      </c>
      <c r="F129">
        <v>77</v>
      </c>
      <c r="G129">
        <v>122</v>
      </c>
      <c r="H129">
        <v>13</v>
      </c>
      <c r="I129">
        <v>213799</v>
      </c>
      <c r="J129">
        <f t="shared" si="3"/>
        <v>169651</v>
      </c>
      <c r="K129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45892</v>
      </c>
      <c r="L129"/>
    </row>
    <row r="130" spans="1:12" x14ac:dyDescent="0.25">
      <c r="A130">
        <v>129</v>
      </c>
      <c r="B130" t="s">
        <v>433</v>
      </c>
      <c r="C130" t="s">
        <v>46</v>
      </c>
      <c r="D130" t="s">
        <v>434</v>
      </c>
      <c r="E130" t="s">
        <v>12</v>
      </c>
      <c r="F130">
        <v>2</v>
      </c>
      <c r="G130">
        <v>147</v>
      </c>
      <c r="H130">
        <v>897</v>
      </c>
      <c r="I130">
        <v>213587</v>
      </c>
      <c r="J130">
        <f t="shared" ref="J130:J161" si="4">IFERROR(MIN(I:I),"-")</f>
        <v>169651</v>
      </c>
      <c r="K13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0"/>
    </row>
    <row r="131" spans="1:12" x14ac:dyDescent="0.25">
      <c r="A131">
        <v>130</v>
      </c>
      <c r="B131" t="s">
        <v>408</v>
      </c>
      <c r="C131" t="s">
        <v>409</v>
      </c>
      <c r="D131" t="s">
        <v>410</v>
      </c>
      <c r="E131" t="s">
        <v>31</v>
      </c>
      <c r="F131">
        <v>71</v>
      </c>
      <c r="G131">
        <v>123</v>
      </c>
      <c r="H131">
        <v>314</v>
      </c>
      <c r="I131">
        <v>213462</v>
      </c>
      <c r="J131">
        <f t="shared" si="4"/>
        <v>169651</v>
      </c>
      <c r="K13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1"/>
    </row>
    <row r="132" spans="1:12" x14ac:dyDescent="0.25">
      <c r="A132">
        <v>131</v>
      </c>
      <c r="B132" t="s">
        <v>260</v>
      </c>
      <c r="C132" t="s">
        <v>261</v>
      </c>
      <c r="D132" t="s">
        <v>262</v>
      </c>
      <c r="E132" t="s">
        <v>263</v>
      </c>
      <c r="F132">
        <v>14</v>
      </c>
      <c r="G132">
        <v>129</v>
      </c>
      <c r="H132">
        <v>215</v>
      </c>
      <c r="I132">
        <v>212052</v>
      </c>
      <c r="J132">
        <f t="shared" si="4"/>
        <v>169651</v>
      </c>
      <c r="K13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2"/>
    </row>
    <row r="133" spans="1:12" x14ac:dyDescent="0.25">
      <c r="A133">
        <v>132</v>
      </c>
      <c r="B133" t="s">
        <v>4206</v>
      </c>
      <c r="C133" t="s">
        <v>159</v>
      </c>
      <c r="D133" t="s">
        <v>4207</v>
      </c>
      <c r="E133" t="s">
        <v>138</v>
      </c>
      <c r="F133">
        <v>105</v>
      </c>
      <c r="G133">
        <v>110</v>
      </c>
      <c r="H133">
        <v>9</v>
      </c>
      <c r="I133">
        <v>211609</v>
      </c>
      <c r="J133">
        <f t="shared" si="4"/>
        <v>169651</v>
      </c>
      <c r="K133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45902</v>
      </c>
      <c r="L133"/>
    </row>
    <row r="134" spans="1:12" x14ac:dyDescent="0.25">
      <c r="A134">
        <v>133</v>
      </c>
      <c r="B134" t="s">
        <v>2410</v>
      </c>
      <c r="C134" t="s">
        <v>2411</v>
      </c>
      <c r="D134" t="s">
        <v>2412</v>
      </c>
      <c r="E134" t="s">
        <v>228</v>
      </c>
      <c r="F134">
        <v>26</v>
      </c>
      <c r="G134">
        <v>142</v>
      </c>
      <c r="H134">
        <v>737</v>
      </c>
      <c r="I134">
        <v>211078</v>
      </c>
      <c r="J134">
        <f t="shared" si="4"/>
        <v>169651</v>
      </c>
      <c r="K13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4"/>
    </row>
    <row r="135" spans="1:12" x14ac:dyDescent="0.25">
      <c r="A135">
        <v>134</v>
      </c>
      <c r="B135" t="s">
        <v>334</v>
      </c>
      <c r="C135" t="s">
        <v>335</v>
      </c>
      <c r="D135" t="s">
        <v>336</v>
      </c>
      <c r="E135" t="s">
        <v>337</v>
      </c>
      <c r="F135">
        <v>26</v>
      </c>
      <c r="G135">
        <v>130</v>
      </c>
      <c r="H135">
        <v>533</v>
      </c>
      <c r="I135">
        <v>208868</v>
      </c>
      <c r="J135">
        <f t="shared" si="4"/>
        <v>169651</v>
      </c>
      <c r="K13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5"/>
    </row>
    <row r="136" spans="1:12" x14ac:dyDescent="0.25">
      <c r="A136">
        <v>135</v>
      </c>
      <c r="B136" t="s">
        <v>350</v>
      </c>
      <c r="C136" t="s">
        <v>351</v>
      </c>
      <c r="D136" t="s">
        <v>352</v>
      </c>
      <c r="E136" t="s">
        <v>353</v>
      </c>
      <c r="F136">
        <v>62</v>
      </c>
      <c r="G136">
        <v>150</v>
      </c>
      <c r="H136">
        <v>287</v>
      </c>
      <c r="I136">
        <v>207785</v>
      </c>
      <c r="J136">
        <f t="shared" si="4"/>
        <v>169651</v>
      </c>
      <c r="K13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6"/>
    </row>
    <row r="137" spans="1:12" x14ac:dyDescent="0.25">
      <c r="A137">
        <v>136</v>
      </c>
      <c r="B137" t="s">
        <v>1081</v>
      </c>
      <c r="C137" t="s">
        <v>578</v>
      </c>
      <c r="D137" t="s">
        <v>1082</v>
      </c>
      <c r="E137" t="s">
        <v>12</v>
      </c>
      <c r="F137">
        <v>87</v>
      </c>
      <c r="G137">
        <v>192</v>
      </c>
      <c r="H137">
        <v>42</v>
      </c>
      <c r="I137">
        <v>207259</v>
      </c>
      <c r="J137">
        <f t="shared" si="4"/>
        <v>169651</v>
      </c>
      <c r="K13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7"/>
    </row>
    <row r="138" spans="1:12" x14ac:dyDescent="0.25">
      <c r="A138">
        <v>137</v>
      </c>
      <c r="B138" t="s">
        <v>502</v>
      </c>
      <c r="C138" t="s">
        <v>503</v>
      </c>
      <c r="D138" t="s">
        <v>504</v>
      </c>
      <c r="E138" t="s">
        <v>505</v>
      </c>
      <c r="F138">
        <v>67</v>
      </c>
      <c r="G138">
        <v>135</v>
      </c>
      <c r="H138">
        <v>62</v>
      </c>
      <c r="I138">
        <v>204929</v>
      </c>
      <c r="J138">
        <f t="shared" si="4"/>
        <v>169651</v>
      </c>
      <c r="K13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8"/>
    </row>
    <row r="139" spans="1:12" x14ac:dyDescent="0.25">
      <c r="A139">
        <v>138</v>
      </c>
      <c r="B139" t="s">
        <v>356</v>
      </c>
      <c r="C139" t="s">
        <v>43</v>
      </c>
      <c r="D139" t="s">
        <v>357</v>
      </c>
      <c r="E139" t="s">
        <v>31</v>
      </c>
      <c r="F139">
        <v>22</v>
      </c>
      <c r="G139">
        <v>120</v>
      </c>
      <c r="H139">
        <v>1014</v>
      </c>
      <c r="I139">
        <v>204766</v>
      </c>
      <c r="J139">
        <f t="shared" si="4"/>
        <v>169651</v>
      </c>
      <c r="K13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9"/>
    </row>
    <row r="140" spans="1:12" x14ac:dyDescent="0.25">
      <c r="A140">
        <v>139</v>
      </c>
      <c r="B140" t="s">
        <v>456</v>
      </c>
      <c r="C140" t="s">
        <v>69</v>
      </c>
      <c r="D140" t="s">
        <v>457</v>
      </c>
      <c r="E140" t="s">
        <v>67</v>
      </c>
      <c r="F140">
        <v>99</v>
      </c>
      <c r="G140">
        <v>111</v>
      </c>
      <c r="H140">
        <v>19</v>
      </c>
      <c r="I140">
        <v>204649</v>
      </c>
      <c r="J140">
        <f t="shared" si="4"/>
        <v>169651</v>
      </c>
      <c r="K14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0"/>
    </row>
    <row r="141" spans="1:12" x14ac:dyDescent="0.25">
      <c r="A141">
        <v>140</v>
      </c>
      <c r="B141" t="s">
        <v>383</v>
      </c>
      <c r="C141" t="s">
        <v>384</v>
      </c>
      <c r="D141" t="s">
        <v>385</v>
      </c>
      <c r="E141" t="s">
        <v>386</v>
      </c>
      <c r="F141">
        <v>1</v>
      </c>
      <c r="G141">
        <v>170</v>
      </c>
      <c r="H141">
        <v>294</v>
      </c>
      <c r="I141">
        <v>203814</v>
      </c>
      <c r="J141">
        <f t="shared" si="4"/>
        <v>169651</v>
      </c>
      <c r="K14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1"/>
    </row>
    <row r="142" spans="1:12" x14ac:dyDescent="0.25">
      <c r="A142">
        <v>141</v>
      </c>
      <c r="B142" t="s">
        <v>374</v>
      </c>
      <c r="C142" t="s">
        <v>43</v>
      </c>
      <c r="D142" t="s">
        <v>375</v>
      </c>
      <c r="E142" t="s">
        <v>31</v>
      </c>
      <c r="F142">
        <v>19</v>
      </c>
      <c r="G142">
        <v>173</v>
      </c>
      <c r="H142">
        <v>1020</v>
      </c>
      <c r="I142">
        <v>203809</v>
      </c>
      <c r="J142">
        <f t="shared" si="4"/>
        <v>169651</v>
      </c>
      <c r="K14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2"/>
    </row>
    <row r="143" spans="1:12" x14ac:dyDescent="0.25">
      <c r="A143">
        <v>142</v>
      </c>
      <c r="B143" t="s">
        <v>252</v>
      </c>
      <c r="C143" t="s">
        <v>33</v>
      </c>
      <c r="D143" t="s">
        <v>253</v>
      </c>
      <c r="E143" t="s">
        <v>12</v>
      </c>
      <c r="F143">
        <v>35</v>
      </c>
      <c r="G143">
        <v>116</v>
      </c>
      <c r="H143">
        <v>351</v>
      </c>
      <c r="I143">
        <v>203789</v>
      </c>
      <c r="J143">
        <f t="shared" si="4"/>
        <v>169651</v>
      </c>
      <c r="K14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3"/>
    </row>
    <row r="144" spans="1:12" x14ac:dyDescent="0.25">
      <c r="A144">
        <v>143</v>
      </c>
      <c r="B144" t="s">
        <v>463</v>
      </c>
      <c r="C144" t="s">
        <v>152</v>
      </c>
      <c r="D144" t="s">
        <v>464</v>
      </c>
      <c r="E144" t="s">
        <v>12</v>
      </c>
      <c r="F144">
        <v>61</v>
      </c>
      <c r="G144">
        <v>158</v>
      </c>
      <c r="H144">
        <v>311</v>
      </c>
      <c r="I144">
        <v>203107</v>
      </c>
      <c r="J144">
        <f t="shared" si="4"/>
        <v>169651</v>
      </c>
      <c r="K14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4"/>
    </row>
    <row r="145" spans="1:12" x14ac:dyDescent="0.25">
      <c r="A145">
        <v>144</v>
      </c>
      <c r="B145" t="s">
        <v>418</v>
      </c>
      <c r="C145" t="s">
        <v>419</v>
      </c>
      <c r="D145" t="s">
        <v>420</v>
      </c>
      <c r="E145" t="s">
        <v>24</v>
      </c>
      <c r="F145">
        <v>73</v>
      </c>
      <c r="G145">
        <v>134</v>
      </c>
      <c r="H145">
        <v>340</v>
      </c>
      <c r="I145">
        <v>201739</v>
      </c>
      <c r="J145">
        <f t="shared" si="4"/>
        <v>169651</v>
      </c>
      <c r="K14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5"/>
    </row>
    <row r="146" spans="1:12" x14ac:dyDescent="0.25">
      <c r="A146">
        <v>145</v>
      </c>
      <c r="B146" t="s">
        <v>377</v>
      </c>
      <c r="C146" t="s">
        <v>378</v>
      </c>
      <c r="D146" t="s">
        <v>379</v>
      </c>
      <c r="E146" t="s">
        <v>263</v>
      </c>
      <c r="F146">
        <v>71</v>
      </c>
      <c r="G146">
        <v>140</v>
      </c>
      <c r="H146">
        <v>161</v>
      </c>
      <c r="I146">
        <v>201653</v>
      </c>
      <c r="J146">
        <f t="shared" si="4"/>
        <v>169651</v>
      </c>
      <c r="K14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6"/>
    </row>
    <row r="147" spans="1:12" x14ac:dyDescent="0.25">
      <c r="A147">
        <v>146</v>
      </c>
      <c r="B147" t="s">
        <v>451</v>
      </c>
      <c r="C147" t="s">
        <v>452</v>
      </c>
      <c r="D147" t="s">
        <v>453</v>
      </c>
      <c r="E147" t="s">
        <v>228</v>
      </c>
      <c r="F147">
        <v>66</v>
      </c>
      <c r="G147">
        <v>126</v>
      </c>
      <c r="H147">
        <v>235</v>
      </c>
      <c r="I147">
        <v>201620</v>
      </c>
      <c r="J147">
        <f t="shared" si="4"/>
        <v>169651</v>
      </c>
      <c r="K14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7"/>
    </row>
    <row r="148" spans="1:12" x14ac:dyDescent="0.25">
      <c r="A148">
        <v>147</v>
      </c>
      <c r="B148" t="s">
        <v>4504</v>
      </c>
      <c r="C148" t="s">
        <v>4505</v>
      </c>
      <c r="D148" t="s">
        <v>4506</v>
      </c>
      <c r="E148" t="s">
        <v>919</v>
      </c>
      <c r="F148">
        <v>147</v>
      </c>
      <c r="G148">
        <v>176</v>
      </c>
      <c r="H148">
        <v>4</v>
      </c>
      <c r="I148">
        <v>200109</v>
      </c>
      <c r="J148">
        <f t="shared" si="4"/>
        <v>169651</v>
      </c>
      <c r="K14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148"/>
    </row>
    <row r="149" spans="1:12" x14ac:dyDescent="0.25">
      <c r="A149">
        <v>148</v>
      </c>
      <c r="B149" t="s">
        <v>304</v>
      </c>
      <c r="C149" t="s">
        <v>115</v>
      </c>
      <c r="D149" t="s">
        <v>305</v>
      </c>
      <c r="E149" t="s">
        <v>306</v>
      </c>
      <c r="F149">
        <v>41</v>
      </c>
      <c r="G149">
        <v>133</v>
      </c>
      <c r="H149">
        <v>115</v>
      </c>
      <c r="I149">
        <v>199983</v>
      </c>
      <c r="J149">
        <f t="shared" si="4"/>
        <v>169651</v>
      </c>
      <c r="K14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9"/>
    </row>
    <row r="150" spans="1:12" x14ac:dyDescent="0.25">
      <c r="A150">
        <v>149</v>
      </c>
      <c r="B150" t="s">
        <v>454</v>
      </c>
      <c r="C150" t="s">
        <v>148</v>
      </c>
      <c r="D150" t="s">
        <v>455</v>
      </c>
      <c r="E150" t="s">
        <v>150</v>
      </c>
      <c r="F150">
        <v>1</v>
      </c>
      <c r="G150">
        <v>148</v>
      </c>
      <c r="H150">
        <v>336</v>
      </c>
      <c r="I150">
        <v>198382</v>
      </c>
      <c r="J150">
        <f t="shared" si="4"/>
        <v>169651</v>
      </c>
      <c r="K15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0"/>
    </row>
    <row r="151" spans="1:12" x14ac:dyDescent="0.25">
      <c r="A151">
        <v>150</v>
      </c>
      <c r="B151" t="s">
        <v>398</v>
      </c>
      <c r="C151" t="s">
        <v>399</v>
      </c>
      <c r="D151" t="s">
        <v>400</v>
      </c>
      <c r="E151" t="s">
        <v>228</v>
      </c>
      <c r="F151">
        <v>20</v>
      </c>
      <c r="G151">
        <v>137</v>
      </c>
      <c r="H151">
        <v>181</v>
      </c>
      <c r="I151">
        <v>197097</v>
      </c>
      <c r="J151">
        <f t="shared" si="4"/>
        <v>169651</v>
      </c>
      <c r="K15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1"/>
    </row>
    <row r="152" spans="1:12" x14ac:dyDescent="0.25">
      <c r="A152">
        <v>151</v>
      </c>
      <c r="B152" t="s">
        <v>471</v>
      </c>
      <c r="C152" t="s">
        <v>148</v>
      </c>
      <c r="D152" t="s">
        <v>472</v>
      </c>
      <c r="E152" t="s">
        <v>24</v>
      </c>
      <c r="F152">
        <v>1</v>
      </c>
      <c r="G152">
        <v>155</v>
      </c>
      <c r="H152">
        <v>692</v>
      </c>
      <c r="I152">
        <v>194705</v>
      </c>
      <c r="J152">
        <f t="shared" si="4"/>
        <v>169651</v>
      </c>
      <c r="K15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2"/>
    </row>
    <row r="153" spans="1:12" x14ac:dyDescent="0.25">
      <c r="A153">
        <v>152</v>
      </c>
      <c r="B153" t="s">
        <v>4673</v>
      </c>
      <c r="C153" t="s">
        <v>43</v>
      </c>
      <c r="D153" t="s">
        <v>4674</v>
      </c>
      <c r="E153" t="s">
        <v>31</v>
      </c>
      <c r="F153">
        <v>72</v>
      </c>
      <c r="G153">
        <v>-1</v>
      </c>
      <c r="H153">
        <v>99</v>
      </c>
      <c r="I153">
        <v>194339</v>
      </c>
      <c r="J153">
        <f t="shared" si="4"/>
        <v>169651</v>
      </c>
      <c r="K15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3"/>
    </row>
    <row r="154" spans="1:12" x14ac:dyDescent="0.25">
      <c r="A154">
        <v>153</v>
      </c>
      <c r="B154" t="s">
        <v>4310</v>
      </c>
      <c r="C154" t="s">
        <v>4311</v>
      </c>
      <c r="D154" t="s">
        <v>4312</v>
      </c>
      <c r="E154" t="s">
        <v>12</v>
      </c>
      <c r="F154">
        <v>143</v>
      </c>
      <c r="G154">
        <v>161</v>
      </c>
      <c r="H154">
        <v>26</v>
      </c>
      <c r="I154">
        <v>194282</v>
      </c>
      <c r="J154">
        <f t="shared" si="4"/>
        <v>169651</v>
      </c>
      <c r="K15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4"/>
    </row>
    <row r="155" spans="1:12" x14ac:dyDescent="0.25">
      <c r="A155">
        <v>154</v>
      </c>
      <c r="B155" t="s">
        <v>365</v>
      </c>
      <c r="C155" t="s">
        <v>93</v>
      </c>
      <c r="D155" t="s">
        <v>366</v>
      </c>
      <c r="E155" t="s">
        <v>24</v>
      </c>
      <c r="F155">
        <v>81</v>
      </c>
      <c r="G155">
        <v>152</v>
      </c>
      <c r="H155">
        <v>22</v>
      </c>
      <c r="I155">
        <v>191654</v>
      </c>
      <c r="J155">
        <f t="shared" si="4"/>
        <v>169651</v>
      </c>
      <c r="K15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5"/>
    </row>
    <row r="156" spans="1:12" x14ac:dyDescent="0.25">
      <c r="A156">
        <v>155</v>
      </c>
      <c r="B156" t="s">
        <v>256</v>
      </c>
      <c r="C156" t="s">
        <v>257</v>
      </c>
      <c r="D156" t="s">
        <v>258</v>
      </c>
      <c r="E156" t="s">
        <v>259</v>
      </c>
      <c r="F156">
        <v>45</v>
      </c>
      <c r="G156">
        <v>156</v>
      </c>
      <c r="H156">
        <v>60</v>
      </c>
      <c r="I156">
        <v>190826</v>
      </c>
      <c r="J156">
        <f t="shared" si="4"/>
        <v>169651</v>
      </c>
      <c r="K15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6"/>
    </row>
    <row r="157" spans="1:12" x14ac:dyDescent="0.25">
      <c r="A157">
        <v>156</v>
      </c>
      <c r="B157" t="s">
        <v>2415</v>
      </c>
      <c r="C157" t="s">
        <v>2416</v>
      </c>
      <c r="D157" t="s">
        <v>2417</v>
      </c>
      <c r="E157" t="s">
        <v>263</v>
      </c>
      <c r="F157">
        <v>119</v>
      </c>
      <c r="G157">
        <v>185</v>
      </c>
      <c r="H157">
        <v>60</v>
      </c>
      <c r="I157">
        <v>190799</v>
      </c>
      <c r="J157">
        <f t="shared" si="4"/>
        <v>169651</v>
      </c>
      <c r="K15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7"/>
    </row>
    <row r="158" spans="1:12" x14ac:dyDescent="0.25">
      <c r="A158">
        <v>157</v>
      </c>
      <c r="B158" t="s">
        <v>1075</v>
      </c>
      <c r="C158" t="s">
        <v>1076</v>
      </c>
      <c r="D158" t="s">
        <v>1077</v>
      </c>
      <c r="E158" t="s">
        <v>1078</v>
      </c>
      <c r="F158">
        <v>47</v>
      </c>
      <c r="G158">
        <v>153</v>
      </c>
      <c r="H158">
        <v>45</v>
      </c>
      <c r="I158">
        <v>189804</v>
      </c>
      <c r="J158">
        <f t="shared" si="4"/>
        <v>169651</v>
      </c>
      <c r="K15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8"/>
    </row>
    <row r="159" spans="1:12" x14ac:dyDescent="0.25">
      <c r="A159">
        <v>158</v>
      </c>
      <c r="B159" t="s">
        <v>4375</v>
      </c>
      <c r="C159" t="s">
        <v>159</v>
      </c>
      <c r="D159" t="s">
        <v>4376</v>
      </c>
      <c r="E159" t="s">
        <v>138</v>
      </c>
      <c r="F159">
        <v>121</v>
      </c>
      <c r="G159">
        <v>144</v>
      </c>
      <c r="H159">
        <v>5</v>
      </c>
      <c r="I159">
        <v>189378</v>
      </c>
      <c r="J159">
        <f t="shared" si="4"/>
        <v>169651</v>
      </c>
      <c r="K159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45902</v>
      </c>
      <c r="L159"/>
    </row>
    <row r="160" spans="1:12" x14ac:dyDescent="0.25">
      <c r="A160">
        <v>159</v>
      </c>
      <c r="B160" t="s">
        <v>444</v>
      </c>
      <c r="C160" t="s">
        <v>46</v>
      </c>
      <c r="D160" t="s">
        <v>445</v>
      </c>
      <c r="E160" t="s">
        <v>12</v>
      </c>
      <c r="F160">
        <v>56</v>
      </c>
      <c r="G160">
        <v>-1</v>
      </c>
      <c r="H160">
        <v>282</v>
      </c>
      <c r="I160">
        <v>189318</v>
      </c>
      <c r="J160">
        <f t="shared" si="4"/>
        <v>169651</v>
      </c>
      <c r="K16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0"/>
    </row>
    <row r="161" spans="1:12" x14ac:dyDescent="0.25">
      <c r="A161">
        <v>160</v>
      </c>
      <c r="B161" t="s">
        <v>222</v>
      </c>
      <c r="C161" t="s">
        <v>3915</v>
      </c>
      <c r="D161" t="s">
        <v>223</v>
      </c>
      <c r="E161" t="s">
        <v>224</v>
      </c>
      <c r="F161">
        <v>40</v>
      </c>
      <c r="G161">
        <v>146</v>
      </c>
      <c r="H161">
        <v>81</v>
      </c>
      <c r="I161">
        <v>189038</v>
      </c>
      <c r="J161">
        <f t="shared" si="4"/>
        <v>169651</v>
      </c>
      <c r="K16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1"/>
    </row>
    <row r="162" spans="1:12" x14ac:dyDescent="0.25">
      <c r="A162">
        <v>161</v>
      </c>
      <c r="B162" t="s">
        <v>482</v>
      </c>
      <c r="C162" t="s">
        <v>483</v>
      </c>
      <c r="D162" t="s">
        <v>484</v>
      </c>
      <c r="E162" t="s">
        <v>268</v>
      </c>
      <c r="F162">
        <v>133</v>
      </c>
      <c r="G162">
        <v>162</v>
      </c>
      <c r="H162">
        <v>91</v>
      </c>
      <c r="I162">
        <v>188924</v>
      </c>
      <c r="J162">
        <f t="shared" ref="J162:J193" si="5">IFERROR(MIN(I:I),"-")</f>
        <v>169651</v>
      </c>
      <c r="K16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2"/>
    </row>
    <row r="163" spans="1:12" x14ac:dyDescent="0.25">
      <c r="A163">
        <v>162</v>
      </c>
      <c r="B163" t="s">
        <v>4501</v>
      </c>
      <c r="C163" t="s">
        <v>4502</v>
      </c>
      <c r="D163" t="s">
        <v>4503</v>
      </c>
      <c r="E163" t="s">
        <v>303</v>
      </c>
      <c r="F163">
        <v>36</v>
      </c>
      <c r="G163">
        <v>169</v>
      </c>
      <c r="H163">
        <v>60</v>
      </c>
      <c r="I163">
        <v>188677</v>
      </c>
      <c r="J163">
        <f t="shared" si="5"/>
        <v>169651</v>
      </c>
      <c r="K16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3"/>
    </row>
    <row r="164" spans="1:12" x14ac:dyDescent="0.25">
      <c r="A164">
        <v>163</v>
      </c>
      <c r="B164" t="s">
        <v>933</v>
      </c>
      <c r="C164" t="s">
        <v>934</v>
      </c>
      <c r="D164" t="s">
        <v>935</v>
      </c>
      <c r="E164" t="s">
        <v>936</v>
      </c>
      <c r="F164">
        <v>159</v>
      </c>
      <c r="G164">
        <v>159</v>
      </c>
      <c r="H164">
        <v>6</v>
      </c>
      <c r="I164">
        <v>187899</v>
      </c>
      <c r="J164">
        <f t="shared" si="5"/>
        <v>169651</v>
      </c>
      <c r="K16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4"/>
    </row>
    <row r="165" spans="1:12" x14ac:dyDescent="0.25">
      <c r="A165">
        <v>164</v>
      </c>
      <c r="B165" t="s">
        <v>428</v>
      </c>
      <c r="C165" t="s">
        <v>429</v>
      </c>
      <c r="D165" t="s">
        <v>430</v>
      </c>
      <c r="E165" t="s">
        <v>131</v>
      </c>
      <c r="F165">
        <v>52</v>
      </c>
      <c r="G165">
        <v>160</v>
      </c>
      <c r="H165">
        <v>277</v>
      </c>
      <c r="I165">
        <v>187016</v>
      </c>
      <c r="J165">
        <f t="shared" si="5"/>
        <v>169651</v>
      </c>
      <c r="K16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5"/>
    </row>
    <row r="166" spans="1:12" x14ac:dyDescent="0.25">
      <c r="A166">
        <v>165</v>
      </c>
      <c r="B166" t="s">
        <v>217</v>
      </c>
      <c r="C166" t="s">
        <v>218</v>
      </c>
      <c r="D166" t="s">
        <v>219</v>
      </c>
      <c r="E166" t="s">
        <v>88</v>
      </c>
      <c r="F166">
        <v>62</v>
      </c>
      <c r="G166">
        <v>167</v>
      </c>
      <c r="H166">
        <v>219</v>
      </c>
      <c r="I166">
        <v>186874</v>
      </c>
      <c r="J166">
        <f t="shared" si="5"/>
        <v>169651</v>
      </c>
      <c r="K16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6"/>
    </row>
    <row r="167" spans="1:12" x14ac:dyDescent="0.25">
      <c r="A167">
        <v>166</v>
      </c>
      <c r="B167" t="s">
        <v>4499</v>
      </c>
      <c r="C167" t="s">
        <v>4403</v>
      </c>
      <c r="D167" t="s">
        <v>4500</v>
      </c>
      <c r="E167" t="s">
        <v>1510</v>
      </c>
      <c r="F167">
        <v>161</v>
      </c>
      <c r="G167">
        <v>172</v>
      </c>
      <c r="H167">
        <v>13</v>
      </c>
      <c r="I167">
        <v>185538</v>
      </c>
      <c r="J167">
        <f t="shared" si="5"/>
        <v>169651</v>
      </c>
      <c r="K16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7"/>
    </row>
    <row r="168" spans="1:12" x14ac:dyDescent="0.25">
      <c r="A168">
        <v>167</v>
      </c>
      <c r="B168" t="s">
        <v>204</v>
      </c>
      <c r="C168" t="s">
        <v>22</v>
      </c>
      <c r="D168" t="s">
        <v>205</v>
      </c>
      <c r="E168" t="s">
        <v>24</v>
      </c>
      <c r="F168">
        <v>21</v>
      </c>
      <c r="G168">
        <v>186</v>
      </c>
      <c r="H168">
        <v>158</v>
      </c>
      <c r="I168">
        <v>185098</v>
      </c>
      <c r="J168">
        <f t="shared" si="5"/>
        <v>169651</v>
      </c>
      <c r="K16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8"/>
    </row>
    <row r="169" spans="1:12" x14ac:dyDescent="0.25">
      <c r="A169">
        <v>168</v>
      </c>
      <c r="B169" t="s">
        <v>516</v>
      </c>
      <c r="C169" t="s">
        <v>517</v>
      </c>
      <c r="D169" t="s">
        <v>518</v>
      </c>
      <c r="E169" t="s">
        <v>519</v>
      </c>
      <c r="F169">
        <v>49</v>
      </c>
      <c r="G169">
        <v>149</v>
      </c>
      <c r="H169">
        <v>37</v>
      </c>
      <c r="I169">
        <v>184326</v>
      </c>
      <c r="J169">
        <f t="shared" si="5"/>
        <v>169651</v>
      </c>
      <c r="K16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9"/>
    </row>
    <row r="170" spans="1:12" x14ac:dyDescent="0.25">
      <c r="A170">
        <v>169</v>
      </c>
      <c r="B170" t="s">
        <v>206</v>
      </c>
      <c r="C170" t="s">
        <v>22</v>
      </c>
      <c r="D170" t="s">
        <v>207</v>
      </c>
      <c r="E170" t="s">
        <v>24</v>
      </c>
      <c r="F170">
        <v>23</v>
      </c>
      <c r="G170">
        <v>-1</v>
      </c>
      <c r="H170">
        <v>554</v>
      </c>
      <c r="I170">
        <v>183991</v>
      </c>
      <c r="J170">
        <f t="shared" si="5"/>
        <v>169651</v>
      </c>
      <c r="K17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0"/>
    </row>
    <row r="171" spans="1:12" x14ac:dyDescent="0.25">
      <c r="A171">
        <v>170</v>
      </c>
      <c r="B171" t="s">
        <v>473</v>
      </c>
      <c r="C171" t="s">
        <v>33</v>
      </c>
      <c r="D171" t="s">
        <v>474</v>
      </c>
      <c r="E171" t="s">
        <v>12</v>
      </c>
      <c r="F171">
        <v>55</v>
      </c>
      <c r="G171">
        <v>184</v>
      </c>
      <c r="H171">
        <v>56</v>
      </c>
      <c r="I171">
        <v>183765</v>
      </c>
      <c r="J171">
        <f t="shared" si="5"/>
        <v>169651</v>
      </c>
      <c r="K17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1"/>
    </row>
    <row r="172" spans="1:12" x14ac:dyDescent="0.25">
      <c r="A172">
        <v>171</v>
      </c>
      <c r="B172" t="s">
        <v>1521</v>
      </c>
      <c r="C172" t="s">
        <v>1522</v>
      </c>
      <c r="D172" t="s">
        <v>1523</v>
      </c>
      <c r="E172" t="s">
        <v>1524</v>
      </c>
      <c r="F172">
        <v>99</v>
      </c>
      <c r="G172">
        <v>164</v>
      </c>
      <c r="H172">
        <v>180</v>
      </c>
      <c r="I172">
        <v>182802</v>
      </c>
      <c r="J172">
        <f t="shared" si="5"/>
        <v>169651</v>
      </c>
      <c r="K17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2"/>
    </row>
    <row r="173" spans="1:12" x14ac:dyDescent="0.25">
      <c r="A173">
        <v>172</v>
      </c>
      <c r="B173" t="s">
        <v>2418</v>
      </c>
      <c r="C173" t="s">
        <v>281</v>
      </c>
      <c r="D173" t="s">
        <v>2419</v>
      </c>
      <c r="E173" t="s">
        <v>283</v>
      </c>
      <c r="F173">
        <v>105</v>
      </c>
      <c r="G173">
        <v>157</v>
      </c>
      <c r="H173">
        <v>136</v>
      </c>
      <c r="I173">
        <v>181664</v>
      </c>
      <c r="J173">
        <f t="shared" si="5"/>
        <v>169651</v>
      </c>
      <c r="K17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3"/>
    </row>
    <row r="174" spans="1:12" x14ac:dyDescent="0.25">
      <c r="A174">
        <v>173</v>
      </c>
      <c r="B174" t="s">
        <v>4631</v>
      </c>
      <c r="C174" t="s">
        <v>4632</v>
      </c>
      <c r="D174" t="s">
        <v>4633</v>
      </c>
      <c r="E174" t="s">
        <v>20</v>
      </c>
      <c r="F174">
        <v>173</v>
      </c>
      <c r="G174">
        <v>193</v>
      </c>
      <c r="H174">
        <v>2</v>
      </c>
      <c r="I174">
        <v>180799</v>
      </c>
      <c r="J174">
        <f t="shared" si="5"/>
        <v>169651</v>
      </c>
      <c r="K17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174"/>
    </row>
    <row r="175" spans="1:12" x14ac:dyDescent="0.25">
      <c r="A175">
        <v>174</v>
      </c>
      <c r="B175" t="s">
        <v>1044</v>
      </c>
      <c r="C175" t="s">
        <v>1045</v>
      </c>
      <c r="D175" t="s">
        <v>1046</v>
      </c>
      <c r="E175" t="s">
        <v>88</v>
      </c>
      <c r="F175">
        <v>98</v>
      </c>
      <c r="G175">
        <v>145</v>
      </c>
      <c r="H175">
        <v>20</v>
      </c>
      <c r="I175">
        <v>180366</v>
      </c>
      <c r="J175">
        <f t="shared" si="5"/>
        <v>169651</v>
      </c>
      <c r="K17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5"/>
    </row>
    <row r="176" spans="1:12" x14ac:dyDescent="0.25">
      <c r="A176">
        <v>175</v>
      </c>
      <c r="B176" t="s">
        <v>404</v>
      </c>
      <c r="C176" t="s">
        <v>405</v>
      </c>
      <c r="D176" t="s">
        <v>406</v>
      </c>
      <c r="E176" t="s">
        <v>407</v>
      </c>
      <c r="F176">
        <v>97</v>
      </c>
      <c r="G176">
        <v>163</v>
      </c>
      <c r="H176">
        <v>44</v>
      </c>
      <c r="I176">
        <v>179621</v>
      </c>
      <c r="J176">
        <f t="shared" si="5"/>
        <v>169651</v>
      </c>
      <c r="K17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6"/>
    </row>
    <row r="177" spans="1:12" x14ac:dyDescent="0.25">
      <c r="A177">
        <v>176</v>
      </c>
      <c r="B177" t="s">
        <v>478</v>
      </c>
      <c r="C177" t="s">
        <v>479</v>
      </c>
      <c r="D177" t="s">
        <v>480</v>
      </c>
      <c r="E177" t="s">
        <v>150</v>
      </c>
      <c r="F177">
        <v>2</v>
      </c>
      <c r="G177">
        <v>195</v>
      </c>
      <c r="H177">
        <v>204</v>
      </c>
      <c r="I177">
        <v>179460</v>
      </c>
      <c r="J177">
        <f t="shared" si="5"/>
        <v>169651</v>
      </c>
      <c r="K17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7"/>
    </row>
    <row r="178" spans="1:12" x14ac:dyDescent="0.25">
      <c r="A178">
        <v>177</v>
      </c>
      <c r="B178" t="s">
        <v>1162</v>
      </c>
      <c r="C178" t="s">
        <v>511</v>
      </c>
      <c r="D178" t="s">
        <v>1163</v>
      </c>
      <c r="E178" t="s">
        <v>1164</v>
      </c>
      <c r="F178">
        <v>17</v>
      </c>
      <c r="G178">
        <v>175</v>
      </c>
      <c r="H178">
        <v>274</v>
      </c>
      <c r="I178">
        <v>178465</v>
      </c>
      <c r="J178">
        <f t="shared" si="5"/>
        <v>169651</v>
      </c>
      <c r="K17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8"/>
    </row>
    <row r="179" spans="1:12" x14ac:dyDescent="0.25">
      <c r="A179">
        <v>178</v>
      </c>
      <c r="B179" t="s">
        <v>342</v>
      </c>
      <c r="C179" t="s">
        <v>343</v>
      </c>
      <c r="D179" t="s">
        <v>344</v>
      </c>
      <c r="E179" t="s">
        <v>345</v>
      </c>
      <c r="F179">
        <v>19</v>
      </c>
      <c r="G179">
        <v>165</v>
      </c>
      <c r="H179">
        <v>245</v>
      </c>
      <c r="I179">
        <v>178210</v>
      </c>
      <c r="J179">
        <f t="shared" si="5"/>
        <v>169651</v>
      </c>
      <c r="K17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9"/>
    </row>
    <row r="180" spans="1:12" x14ac:dyDescent="0.25">
      <c r="A180">
        <v>179</v>
      </c>
      <c r="B180" t="s">
        <v>1118</v>
      </c>
      <c r="C180" t="s">
        <v>481</v>
      </c>
      <c r="D180" t="s">
        <v>1119</v>
      </c>
      <c r="E180" t="s">
        <v>1120</v>
      </c>
      <c r="F180">
        <v>17</v>
      </c>
      <c r="G180">
        <v>181</v>
      </c>
      <c r="H180">
        <v>462</v>
      </c>
      <c r="I180">
        <v>177285</v>
      </c>
      <c r="J180">
        <f t="shared" si="5"/>
        <v>169651</v>
      </c>
      <c r="K18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0"/>
    </row>
    <row r="181" spans="1:12" x14ac:dyDescent="0.25">
      <c r="A181">
        <v>180</v>
      </c>
      <c r="B181" t="s">
        <v>346</v>
      </c>
      <c r="C181" t="s">
        <v>347</v>
      </c>
      <c r="D181" t="s">
        <v>348</v>
      </c>
      <c r="E181" t="s">
        <v>349</v>
      </c>
      <c r="F181">
        <v>95</v>
      </c>
      <c r="G181">
        <v>151</v>
      </c>
      <c r="H181">
        <v>31</v>
      </c>
      <c r="I181">
        <v>177202</v>
      </c>
      <c r="J181">
        <f t="shared" si="5"/>
        <v>169651</v>
      </c>
      <c r="K18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1"/>
    </row>
    <row r="182" spans="1:12" x14ac:dyDescent="0.25">
      <c r="A182">
        <v>181</v>
      </c>
      <c r="B182" t="s">
        <v>4391</v>
      </c>
      <c r="C182" t="s">
        <v>396</v>
      </c>
      <c r="D182" t="s">
        <v>397</v>
      </c>
      <c r="E182" t="s">
        <v>283</v>
      </c>
      <c r="F182">
        <v>101</v>
      </c>
      <c r="G182">
        <v>154</v>
      </c>
      <c r="H182">
        <v>35</v>
      </c>
      <c r="I182">
        <v>176233</v>
      </c>
      <c r="J182">
        <f t="shared" si="5"/>
        <v>169651</v>
      </c>
      <c r="K18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2"/>
    </row>
    <row r="183" spans="1:12" x14ac:dyDescent="0.25">
      <c r="A183">
        <v>182</v>
      </c>
      <c r="B183" t="s">
        <v>3709</v>
      </c>
      <c r="C183" t="s">
        <v>3710</v>
      </c>
      <c r="D183" t="s">
        <v>3711</v>
      </c>
      <c r="E183" t="s">
        <v>3712</v>
      </c>
      <c r="F183">
        <v>106</v>
      </c>
      <c r="G183">
        <v>180</v>
      </c>
      <c r="H183">
        <v>6</v>
      </c>
      <c r="I183">
        <v>175482</v>
      </c>
      <c r="J183">
        <f t="shared" si="5"/>
        <v>169651</v>
      </c>
      <c r="K18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3"/>
    </row>
    <row r="184" spans="1:12" x14ac:dyDescent="0.25">
      <c r="A184">
        <v>183</v>
      </c>
      <c r="B184" t="s">
        <v>1437</v>
      </c>
      <c r="C184" t="s">
        <v>1438</v>
      </c>
      <c r="D184" t="s">
        <v>1439</v>
      </c>
      <c r="E184" t="s">
        <v>1164</v>
      </c>
      <c r="F184">
        <v>160</v>
      </c>
      <c r="G184">
        <v>198</v>
      </c>
      <c r="H184">
        <v>5</v>
      </c>
      <c r="I184">
        <v>175477</v>
      </c>
      <c r="J184">
        <f t="shared" si="5"/>
        <v>169651</v>
      </c>
      <c r="K18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4"/>
    </row>
    <row r="185" spans="1:12" x14ac:dyDescent="0.25">
      <c r="A185">
        <v>184</v>
      </c>
      <c r="B185" t="s">
        <v>4627</v>
      </c>
      <c r="C185" t="s">
        <v>4628</v>
      </c>
      <c r="D185" t="s">
        <v>4629</v>
      </c>
      <c r="E185" t="s">
        <v>4630</v>
      </c>
      <c r="F185">
        <v>1</v>
      </c>
      <c r="G185">
        <v>188</v>
      </c>
      <c r="H185">
        <v>1168</v>
      </c>
      <c r="I185">
        <v>175191</v>
      </c>
      <c r="J185">
        <f t="shared" si="5"/>
        <v>169651</v>
      </c>
      <c r="K18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5"/>
    </row>
    <row r="186" spans="1:12" x14ac:dyDescent="0.25">
      <c r="A186">
        <v>185</v>
      </c>
      <c r="B186" t="s">
        <v>4675</v>
      </c>
      <c r="C186" t="s">
        <v>561</v>
      </c>
      <c r="D186" t="s">
        <v>3347</v>
      </c>
      <c r="E186" t="s">
        <v>138</v>
      </c>
      <c r="F186">
        <v>169</v>
      </c>
      <c r="G186">
        <v>-1</v>
      </c>
      <c r="H186">
        <v>3</v>
      </c>
      <c r="I186">
        <v>174565</v>
      </c>
      <c r="J186">
        <f t="shared" si="5"/>
        <v>169651</v>
      </c>
      <c r="K18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6"/>
    </row>
    <row r="187" spans="1:12" x14ac:dyDescent="0.25">
      <c r="A187">
        <v>186</v>
      </c>
      <c r="B187" t="s">
        <v>360</v>
      </c>
      <c r="C187" t="s">
        <v>247</v>
      </c>
      <c r="D187" t="s">
        <v>361</v>
      </c>
      <c r="E187" t="s">
        <v>12</v>
      </c>
      <c r="F187">
        <v>10</v>
      </c>
      <c r="G187">
        <v>-1</v>
      </c>
      <c r="H187">
        <v>329</v>
      </c>
      <c r="I187">
        <v>174047</v>
      </c>
      <c r="J187">
        <f t="shared" si="5"/>
        <v>169651</v>
      </c>
      <c r="K18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7"/>
    </row>
    <row r="188" spans="1:12" x14ac:dyDescent="0.25">
      <c r="A188">
        <v>187</v>
      </c>
      <c r="B188" t="s">
        <v>411</v>
      </c>
      <c r="C188" t="s">
        <v>412</v>
      </c>
      <c r="D188" t="s">
        <v>413</v>
      </c>
      <c r="E188" t="s">
        <v>414</v>
      </c>
      <c r="F188">
        <v>44</v>
      </c>
      <c r="G188">
        <v>-1</v>
      </c>
      <c r="H188">
        <v>218</v>
      </c>
      <c r="I188">
        <v>173844</v>
      </c>
      <c r="J188">
        <f t="shared" si="5"/>
        <v>169651</v>
      </c>
      <c r="K18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8"/>
    </row>
    <row r="189" spans="1:12" x14ac:dyDescent="0.25">
      <c r="A189">
        <v>188</v>
      </c>
      <c r="B189" t="s">
        <v>4676</v>
      </c>
      <c r="C189" t="s">
        <v>4677</v>
      </c>
      <c r="D189" t="s">
        <v>4678</v>
      </c>
      <c r="E189" t="s">
        <v>4679</v>
      </c>
      <c r="F189">
        <v>140</v>
      </c>
      <c r="G189">
        <v>-1</v>
      </c>
      <c r="H189">
        <v>285</v>
      </c>
      <c r="I189">
        <v>173760</v>
      </c>
      <c r="J189">
        <f t="shared" si="5"/>
        <v>169651</v>
      </c>
      <c r="K18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9"/>
    </row>
    <row r="190" spans="1:12" x14ac:dyDescent="0.25">
      <c r="A190">
        <v>189</v>
      </c>
      <c r="B190" t="s">
        <v>4304</v>
      </c>
      <c r="C190" t="s">
        <v>496</v>
      </c>
      <c r="D190" t="s">
        <v>4239</v>
      </c>
      <c r="E190" t="s">
        <v>1133</v>
      </c>
      <c r="F190">
        <v>58</v>
      </c>
      <c r="G190">
        <v>177</v>
      </c>
      <c r="H190">
        <v>5</v>
      </c>
      <c r="I190">
        <v>173497</v>
      </c>
      <c r="J190">
        <f t="shared" si="5"/>
        <v>169651</v>
      </c>
      <c r="K19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0"/>
    </row>
    <row r="191" spans="1:12" x14ac:dyDescent="0.25">
      <c r="A191">
        <v>190</v>
      </c>
      <c r="B191" t="s">
        <v>4680</v>
      </c>
      <c r="C191" t="s">
        <v>4681</v>
      </c>
      <c r="D191" t="s">
        <v>4682</v>
      </c>
      <c r="E191" t="s">
        <v>12</v>
      </c>
      <c r="F191">
        <v>22</v>
      </c>
      <c r="G191">
        <v>-1</v>
      </c>
      <c r="H191">
        <v>539</v>
      </c>
      <c r="I191">
        <v>173414</v>
      </c>
      <c r="J191">
        <f t="shared" si="5"/>
        <v>169651</v>
      </c>
      <c r="K19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1"/>
    </row>
    <row r="192" spans="1:12" x14ac:dyDescent="0.25">
      <c r="A192">
        <v>191</v>
      </c>
      <c r="B192" t="s">
        <v>485</v>
      </c>
      <c r="C192" t="s">
        <v>486</v>
      </c>
      <c r="D192" t="s">
        <v>487</v>
      </c>
      <c r="E192" t="s">
        <v>488</v>
      </c>
      <c r="F192">
        <v>76</v>
      </c>
      <c r="G192">
        <v>183</v>
      </c>
      <c r="H192">
        <v>699</v>
      </c>
      <c r="I192">
        <v>172889</v>
      </c>
      <c r="J192">
        <f t="shared" si="5"/>
        <v>169651</v>
      </c>
      <c r="K19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2"/>
    </row>
    <row r="193" spans="1:12" x14ac:dyDescent="0.25">
      <c r="A193">
        <v>192</v>
      </c>
      <c r="B193" t="s">
        <v>4683</v>
      </c>
      <c r="C193" t="s">
        <v>43</v>
      </c>
      <c r="D193" t="s">
        <v>4684</v>
      </c>
      <c r="E193" t="s">
        <v>31</v>
      </c>
      <c r="F193">
        <v>31</v>
      </c>
      <c r="G193">
        <v>-1</v>
      </c>
      <c r="H193">
        <v>290</v>
      </c>
      <c r="I193">
        <v>171126</v>
      </c>
      <c r="J193">
        <f t="shared" si="5"/>
        <v>169651</v>
      </c>
      <c r="K19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3"/>
    </row>
    <row r="194" spans="1:12" x14ac:dyDescent="0.25">
      <c r="A194">
        <v>193</v>
      </c>
      <c r="B194" t="s">
        <v>4634</v>
      </c>
      <c r="C194" t="s">
        <v>4486</v>
      </c>
      <c r="D194" t="s">
        <v>4635</v>
      </c>
      <c r="E194" t="s">
        <v>4636</v>
      </c>
      <c r="F194">
        <v>121</v>
      </c>
      <c r="G194">
        <v>197</v>
      </c>
      <c r="H194">
        <v>71</v>
      </c>
      <c r="I194">
        <v>170965</v>
      </c>
      <c r="J194">
        <f t="shared" ref="J194:J201" si="6">IFERROR(MIN(I:I),"-")</f>
        <v>169651</v>
      </c>
      <c r="K19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4"/>
    </row>
    <row r="195" spans="1:12" x14ac:dyDescent="0.25">
      <c r="A195">
        <v>194</v>
      </c>
      <c r="B195" t="s">
        <v>315</v>
      </c>
      <c r="C195" t="s">
        <v>316</v>
      </c>
      <c r="D195" t="s">
        <v>317</v>
      </c>
      <c r="E195" t="s">
        <v>88</v>
      </c>
      <c r="F195">
        <v>33</v>
      </c>
      <c r="G195">
        <v>-1</v>
      </c>
      <c r="H195">
        <v>345</v>
      </c>
      <c r="I195">
        <v>170794</v>
      </c>
      <c r="J195">
        <f t="shared" si="6"/>
        <v>169651</v>
      </c>
      <c r="K19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5"/>
    </row>
    <row r="196" spans="1:12" x14ac:dyDescent="0.25">
      <c r="A196">
        <v>195</v>
      </c>
      <c r="B196" t="s">
        <v>467</v>
      </c>
      <c r="C196" t="s">
        <v>468</v>
      </c>
      <c r="D196" t="s">
        <v>469</v>
      </c>
      <c r="E196" t="s">
        <v>470</v>
      </c>
      <c r="F196">
        <v>105</v>
      </c>
      <c r="G196">
        <v>168</v>
      </c>
      <c r="H196">
        <v>15</v>
      </c>
      <c r="I196">
        <v>169998</v>
      </c>
      <c r="J196">
        <f t="shared" si="6"/>
        <v>169651</v>
      </c>
      <c r="K19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6"/>
    </row>
    <row r="197" spans="1:12" x14ac:dyDescent="0.25">
      <c r="A197">
        <v>196</v>
      </c>
      <c r="B197" t="s">
        <v>506</v>
      </c>
      <c r="C197" t="s">
        <v>507</v>
      </c>
      <c r="D197" t="s">
        <v>508</v>
      </c>
      <c r="E197" t="s">
        <v>509</v>
      </c>
      <c r="F197">
        <v>15</v>
      </c>
      <c r="G197">
        <v>-1</v>
      </c>
      <c r="H197">
        <v>405</v>
      </c>
      <c r="I197">
        <v>169944</v>
      </c>
      <c r="J197">
        <f t="shared" si="6"/>
        <v>169651</v>
      </c>
      <c r="K19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7"/>
    </row>
    <row r="198" spans="1:12" x14ac:dyDescent="0.25">
      <c r="A198">
        <v>197</v>
      </c>
      <c r="B198" t="s">
        <v>438</v>
      </c>
      <c r="C198" t="s">
        <v>439</v>
      </c>
      <c r="D198" t="s">
        <v>440</v>
      </c>
      <c r="E198" t="s">
        <v>203</v>
      </c>
      <c r="F198">
        <v>3</v>
      </c>
      <c r="G198">
        <v>-1</v>
      </c>
      <c r="H198">
        <v>197</v>
      </c>
      <c r="I198">
        <v>169804</v>
      </c>
      <c r="J198">
        <f t="shared" si="6"/>
        <v>169651</v>
      </c>
      <c r="K19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8"/>
    </row>
    <row r="199" spans="1:12" x14ac:dyDescent="0.25">
      <c r="A199">
        <v>198</v>
      </c>
      <c r="B199" t="s">
        <v>4685</v>
      </c>
      <c r="C199" t="s">
        <v>4013</v>
      </c>
      <c r="D199" t="s">
        <v>3934</v>
      </c>
      <c r="E199" t="s">
        <v>4686</v>
      </c>
      <c r="F199">
        <v>51</v>
      </c>
      <c r="G199">
        <v>-1</v>
      </c>
      <c r="H199">
        <v>209</v>
      </c>
      <c r="I199">
        <v>169738</v>
      </c>
      <c r="J199">
        <f t="shared" si="6"/>
        <v>169651</v>
      </c>
      <c r="K19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9"/>
    </row>
    <row r="200" spans="1:12" x14ac:dyDescent="0.25">
      <c r="A200">
        <v>199</v>
      </c>
      <c r="B200" t="s">
        <v>416</v>
      </c>
      <c r="C200" t="s">
        <v>316</v>
      </c>
      <c r="D200" t="s">
        <v>417</v>
      </c>
      <c r="E200" t="s">
        <v>88</v>
      </c>
      <c r="F200">
        <v>53</v>
      </c>
      <c r="G200">
        <v>191</v>
      </c>
      <c r="H200">
        <v>489</v>
      </c>
      <c r="I200">
        <v>169730</v>
      </c>
      <c r="J200">
        <f t="shared" si="6"/>
        <v>169651</v>
      </c>
      <c r="K20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0"/>
    </row>
    <row r="201" spans="1:12" x14ac:dyDescent="0.25">
      <c r="A201">
        <v>200</v>
      </c>
      <c r="B201" t="s">
        <v>294</v>
      </c>
      <c r="C201" t="s">
        <v>295</v>
      </c>
      <c r="D201" t="s">
        <v>296</v>
      </c>
      <c r="E201" t="s">
        <v>24</v>
      </c>
      <c r="F201">
        <v>34</v>
      </c>
      <c r="G201">
        <v>189</v>
      </c>
      <c r="H201">
        <v>83</v>
      </c>
      <c r="I201">
        <v>169651</v>
      </c>
      <c r="J201">
        <f t="shared" si="6"/>
        <v>169651</v>
      </c>
      <c r="K20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D3AE1-39D1-44FC-A7E7-FE5A0B8B057E}">
  <sheetPr codeName="Planilha4"/>
  <dimension ref="A1:F201"/>
  <sheetViews>
    <sheetView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1" bestFit="1" customWidth="1"/>
    <col min="3" max="3" width="25" bestFit="1" customWidth="1"/>
    <col min="4" max="4" width="12.5703125" bestFit="1" customWidth="1"/>
    <col min="5" max="5" width="16" bestFit="1" customWidth="1"/>
    <col min="6" max="6" width="16.14062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7</v>
      </c>
    </row>
    <row r="2" spans="1:6" x14ac:dyDescent="0.25">
      <c r="A2">
        <v>1</v>
      </c>
      <c r="B2" t="s">
        <v>529</v>
      </c>
      <c r="C2" t="s">
        <v>43</v>
      </c>
      <c r="D2">
        <v>1</v>
      </c>
      <c r="E2">
        <v>1</v>
      </c>
      <c r="F2">
        <v>1415</v>
      </c>
    </row>
    <row r="3" spans="1:6" x14ac:dyDescent="0.25">
      <c r="A3">
        <v>2</v>
      </c>
      <c r="B3" t="s">
        <v>530</v>
      </c>
      <c r="C3" t="s">
        <v>33</v>
      </c>
      <c r="D3">
        <v>1</v>
      </c>
      <c r="E3">
        <v>2</v>
      </c>
      <c r="F3">
        <v>1415</v>
      </c>
    </row>
    <row r="4" spans="1:6" x14ac:dyDescent="0.25">
      <c r="A4">
        <v>3</v>
      </c>
      <c r="B4" t="s">
        <v>531</v>
      </c>
      <c r="C4" t="s">
        <v>46</v>
      </c>
      <c r="D4">
        <v>3</v>
      </c>
      <c r="E4">
        <v>5</v>
      </c>
      <c r="F4">
        <v>1415</v>
      </c>
    </row>
    <row r="5" spans="1:6" x14ac:dyDescent="0.25">
      <c r="A5">
        <v>4</v>
      </c>
      <c r="B5" t="s">
        <v>532</v>
      </c>
      <c r="C5" t="s">
        <v>533</v>
      </c>
      <c r="D5">
        <v>1</v>
      </c>
      <c r="E5">
        <v>3</v>
      </c>
      <c r="F5">
        <v>1415</v>
      </c>
    </row>
    <row r="6" spans="1:6" x14ac:dyDescent="0.25">
      <c r="A6">
        <v>5</v>
      </c>
      <c r="B6" t="s">
        <v>536</v>
      </c>
      <c r="C6" t="s">
        <v>152</v>
      </c>
      <c r="D6">
        <v>1</v>
      </c>
      <c r="E6">
        <v>4</v>
      </c>
      <c r="F6">
        <v>1415</v>
      </c>
    </row>
    <row r="7" spans="1:6" x14ac:dyDescent="0.25">
      <c r="A7">
        <v>6</v>
      </c>
      <c r="B7" t="s">
        <v>534</v>
      </c>
      <c r="C7" t="s">
        <v>535</v>
      </c>
      <c r="D7">
        <v>1</v>
      </c>
      <c r="E7">
        <v>6</v>
      </c>
      <c r="F7">
        <v>1415</v>
      </c>
    </row>
    <row r="8" spans="1:6" x14ac:dyDescent="0.25">
      <c r="A8">
        <v>7</v>
      </c>
      <c r="B8" t="s">
        <v>539</v>
      </c>
      <c r="C8" t="s">
        <v>298</v>
      </c>
      <c r="D8">
        <v>5</v>
      </c>
      <c r="E8">
        <v>8</v>
      </c>
      <c r="F8">
        <v>1415</v>
      </c>
    </row>
    <row r="9" spans="1:6" x14ac:dyDescent="0.25">
      <c r="A9">
        <v>8</v>
      </c>
      <c r="B9" t="s">
        <v>537</v>
      </c>
      <c r="C9" t="s">
        <v>538</v>
      </c>
      <c r="D9">
        <v>2</v>
      </c>
      <c r="E9">
        <v>7</v>
      </c>
      <c r="F9">
        <v>1415</v>
      </c>
    </row>
    <row r="10" spans="1:6" x14ac:dyDescent="0.25">
      <c r="A10">
        <v>9</v>
      </c>
      <c r="B10" t="s">
        <v>540</v>
      </c>
      <c r="C10" t="s">
        <v>69</v>
      </c>
      <c r="D10">
        <v>4</v>
      </c>
      <c r="E10">
        <v>9</v>
      </c>
      <c r="F10">
        <v>938</v>
      </c>
    </row>
    <row r="11" spans="1:6" x14ac:dyDescent="0.25">
      <c r="A11">
        <v>10</v>
      </c>
      <c r="B11" t="s">
        <v>548</v>
      </c>
      <c r="C11" t="s">
        <v>549</v>
      </c>
      <c r="D11">
        <v>10</v>
      </c>
      <c r="E11">
        <v>14</v>
      </c>
      <c r="F11">
        <v>625</v>
      </c>
    </row>
    <row r="12" spans="1:6" x14ac:dyDescent="0.25">
      <c r="A12">
        <v>11</v>
      </c>
      <c r="B12" t="s">
        <v>550</v>
      </c>
      <c r="C12" t="s">
        <v>148</v>
      </c>
      <c r="D12">
        <v>1</v>
      </c>
      <c r="E12">
        <v>12</v>
      </c>
      <c r="F12">
        <v>1415</v>
      </c>
    </row>
    <row r="13" spans="1:6" x14ac:dyDescent="0.25">
      <c r="A13">
        <v>12</v>
      </c>
      <c r="B13" t="s">
        <v>541</v>
      </c>
      <c r="C13" t="s">
        <v>542</v>
      </c>
      <c r="D13">
        <v>1</v>
      </c>
      <c r="E13">
        <v>11</v>
      </c>
      <c r="F13">
        <v>1028</v>
      </c>
    </row>
    <row r="14" spans="1:6" x14ac:dyDescent="0.25">
      <c r="A14">
        <v>13</v>
      </c>
      <c r="B14" t="s">
        <v>546</v>
      </c>
      <c r="C14" t="s">
        <v>547</v>
      </c>
      <c r="D14">
        <v>2</v>
      </c>
      <c r="E14">
        <v>10</v>
      </c>
      <c r="F14">
        <v>1415</v>
      </c>
    </row>
    <row r="15" spans="1:6" x14ac:dyDescent="0.25">
      <c r="A15">
        <v>14</v>
      </c>
      <c r="B15" t="s">
        <v>560</v>
      </c>
      <c r="C15" t="s">
        <v>561</v>
      </c>
      <c r="D15">
        <v>2</v>
      </c>
      <c r="E15">
        <v>17</v>
      </c>
      <c r="F15">
        <v>387</v>
      </c>
    </row>
    <row r="16" spans="1:6" x14ac:dyDescent="0.25">
      <c r="A16">
        <v>15</v>
      </c>
      <c r="B16" t="s">
        <v>543</v>
      </c>
      <c r="C16" t="s">
        <v>93</v>
      </c>
      <c r="D16">
        <v>1</v>
      </c>
      <c r="E16">
        <v>15</v>
      </c>
      <c r="F16">
        <v>1415</v>
      </c>
    </row>
    <row r="17" spans="1:6" x14ac:dyDescent="0.25">
      <c r="A17">
        <v>16</v>
      </c>
      <c r="B17" t="s">
        <v>564</v>
      </c>
      <c r="C17" t="s">
        <v>170</v>
      </c>
      <c r="D17">
        <v>1</v>
      </c>
      <c r="E17">
        <v>13</v>
      </c>
      <c r="F17">
        <v>1204</v>
      </c>
    </row>
    <row r="18" spans="1:6" x14ac:dyDescent="0.25">
      <c r="A18">
        <v>17</v>
      </c>
      <c r="B18" t="s">
        <v>544</v>
      </c>
      <c r="C18" t="s">
        <v>545</v>
      </c>
      <c r="D18">
        <v>3</v>
      </c>
      <c r="E18">
        <v>16</v>
      </c>
      <c r="F18">
        <v>1021</v>
      </c>
    </row>
    <row r="19" spans="1:6" x14ac:dyDescent="0.25">
      <c r="A19">
        <v>18</v>
      </c>
      <c r="B19" t="s">
        <v>551</v>
      </c>
      <c r="C19" t="s">
        <v>552</v>
      </c>
      <c r="D19">
        <v>1</v>
      </c>
      <c r="E19">
        <v>18</v>
      </c>
      <c r="F19">
        <v>1415</v>
      </c>
    </row>
    <row r="20" spans="1:6" x14ac:dyDescent="0.25">
      <c r="A20">
        <v>19</v>
      </c>
      <c r="B20" t="s">
        <v>556</v>
      </c>
      <c r="C20" t="s">
        <v>557</v>
      </c>
      <c r="D20">
        <v>11</v>
      </c>
      <c r="E20">
        <v>20</v>
      </c>
      <c r="F20">
        <v>201</v>
      </c>
    </row>
    <row r="21" spans="1:6" x14ac:dyDescent="0.25">
      <c r="A21">
        <v>20</v>
      </c>
      <c r="B21" t="s">
        <v>553</v>
      </c>
      <c r="C21" t="s">
        <v>554</v>
      </c>
      <c r="D21">
        <v>6</v>
      </c>
      <c r="E21">
        <v>19</v>
      </c>
      <c r="F21">
        <v>301</v>
      </c>
    </row>
    <row r="22" spans="1:6" x14ac:dyDescent="0.25">
      <c r="A22">
        <v>21</v>
      </c>
      <c r="B22" t="s">
        <v>558</v>
      </c>
      <c r="C22" t="s">
        <v>22</v>
      </c>
      <c r="D22">
        <v>9</v>
      </c>
      <c r="E22">
        <v>23</v>
      </c>
      <c r="F22">
        <v>1415</v>
      </c>
    </row>
    <row r="23" spans="1:6" x14ac:dyDescent="0.25">
      <c r="A23">
        <v>22</v>
      </c>
      <c r="B23" t="s">
        <v>570</v>
      </c>
      <c r="C23" t="s">
        <v>571</v>
      </c>
      <c r="D23">
        <v>13</v>
      </c>
      <c r="E23">
        <v>25</v>
      </c>
      <c r="F23">
        <v>1282</v>
      </c>
    </row>
    <row r="24" spans="1:6" x14ac:dyDescent="0.25">
      <c r="A24">
        <v>23</v>
      </c>
      <c r="B24" t="s">
        <v>555</v>
      </c>
      <c r="C24" t="s">
        <v>133</v>
      </c>
      <c r="D24">
        <v>6</v>
      </c>
      <c r="E24">
        <v>21</v>
      </c>
      <c r="F24">
        <v>1415</v>
      </c>
    </row>
    <row r="25" spans="1:6" x14ac:dyDescent="0.25">
      <c r="A25">
        <v>24</v>
      </c>
      <c r="B25" t="s">
        <v>559</v>
      </c>
      <c r="C25" t="s">
        <v>527</v>
      </c>
      <c r="D25">
        <v>3</v>
      </c>
      <c r="E25">
        <v>24</v>
      </c>
      <c r="F25">
        <v>1415</v>
      </c>
    </row>
    <row r="26" spans="1:6" x14ac:dyDescent="0.25">
      <c r="A26">
        <v>25</v>
      </c>
      <c r="B26" t="s">
        <v>674</v>
      </c>
      <c r="C26" t="s">
        <v>159</v>
      </c>
      <c r="D26">
        <v>5</v>
      </c>
      <c r="E26">
        <v>28</v>
      </c>
      <c r="F26">
        <v>322</v>
      </c>
    </row>
    <row r="27" spans="1:6" x14ac:dyDescent="0.25">
      <c r="A27">
        <v>26</v>
      </c>
      <c r="B27" t="s">
        <v>562</v>
      </c>
      <c r="C27" t="s">
        <v>563</v>
      </c>
      <c r="D27">
        <v>2</v>
      </c>
      <c r="E27">
        <v>22</v>
      </c>
      <c r="F27">
        <v>496</v>
      </c>
    </row>
    <row r="28" spans="1:6" x14ac:dyDescent="0.25">
      <c r="A28">
        <v>27</v>
      </c>
      <c r="B28" t="s">
        <v>568</v>
      </c>
      <c r="C28" t="s">
        <v>569</v>
      </c>
      <c r="D28">
        <v>7</v>
      </c>
      <c r="E28">
        <v>32</v>
      </c>
      <c r="F28">
        <v>458</v>
      </c>
    </row>
    <row r="29" spans="1:6" x14ac:dyDescent="0.25">
      <c r="A29">
        <v>28</v>
      </c>
      <c r="B29" t="s">
        <v>576</v>
      </c>
      <c r="C29" t="s">
        <v>277</v>
      </c>
      <c r="D29">
        <v>20</v>
      </c>
      <c r="E29">
        <v>27</v>
      </c>
      <c r="F29">
        <v>1415</v>
      </c>
    </row>
    <row r="30" spans="1:6" x14ac:dyDescent="0.25">
      <c r="A30">
        <v>29</v>
      </c>
      <c r="B30" t="s">
        <v>577</v>
      </c>
      <c r="C30" t="s">
        <v>578</v>
      </c>
      <c r="D30">
        <v>5</v>
      </c>
      <c r="E30">
        <v>38</v>
      </c>
      <c r="F30">
        <v>1415</v>
      </c>
    </row>
    <row r="31" spans="1:6" x14ac:dyDescent="0.25">
      <c r="A31">
        <v>30</v>
      </c>
      <c r="B31" t="s">
        <v>565</v>
      </c>
      <c r="C31" t="s">
        <v>316</v>
      </c>
      <c r="D31">
        <v>17</v>
      </c>
      <c r="E31">
        <v>26</v>
      </c>
      <c r="F31">
        <v>1415</v>
      </c>
    </row>
    <row r="32" spans="1:6" x14ac:dyDescent="0.25">
      <c r="A32">
        <v>31</v>
      </c>
      <c r="B32" t="s">
        <v>566</v>
      </c>
      <c r="C32" t="s">
        <v>567</v>
      </c>
      <c r="D32">
        <v>6</v>
      </c>
      <c r="E32">
        <v>31</v>
      </c>
      <c r="F32">
        <v>1415</v>
      </c>
    </row>
    <row r="33" spans="1:6" x14ac:dyDescent="0.25">
      <c r="A33">
        <v>32</v>
      </c>
      <c r="B33" t="s">
        <v>592</v>
      </c>
      <c r="C33" t="s">
        <v>593</v>
      </c>
      <c r="D33">
        <v>23</v>
      </c>
      <c r="E33">
        <v>30</v>
      </c>
      <c r="F33">
        <v>886</v>
      </c>
    </row>
    <row r="34" spans="1:6" x14ac:dyDescent="0.25">
      <c r="A34">
        <v>33</v>
      </c>
      <c r="B34" t="s">
        <v>856</v>
      </c>
      <c r="C34" t="s">
        <v>496</v>
      </c>
      <c r="D34">
        <v>7</v>
      </c>
      <c r="E34">
        <v>29</v>
      </c>
      <c r="F34">
        <v>421</v>
      </c>
    </row>
    <row r="35" spans="1:6" x14ac:dyDescent="0.25">
      <c r="A35">
        <v>34</v>
      </c>
      <c r="B35" t="s">
        <v>574</v>
      </c>
      <c r="C35" t="s">
        <v>575</v>
      </c>
      <c r="D35">
        <v>24</v>
      </c>
      <c r="E35">
        <v>35</v>
      </c>
      <c r="F35">
        <v>299</v>
      </c>
    </row>
    <row r="36" spans="1:6" x14ac:dyDescent="0.25">
      <c r="A36">
        <v>35</v>
      </c>
      <c r="B36" t="s">
        <v>572</v>
      </c>
      <c r="C36" t="s">
        <v>573</v>
      </c>
      <c r="D36">
        <v>1</v>
      </c>
      <c r="E36">
        <v>33</v>
      </c>
      <c r="F36">
        <v>1415</v>
      </c>
    </row>
    <row r="37" spans="1:6" x14ac:dyDescent="0.25">
      <c r="A37">
        <v>36</v>
      </c>
      <c r="B37" t="s">
        <v>583</v>
      </c>
      <c r="C37" t="s">
        <v>584</v>
      </c>
      <c r="D37">
        <v>18</v>
      </c>
      <c r="E37">
        <v>37</v>
      </c>
      <c r="F37">
        <v>1415</v>
      </c>
    </row>
    <row r="38" spans="1:6" x14ac:dyDescent="0.25">
      <c r="A38">
        <v>37</v>
      </c>
      <c r="B38" t="s">
        <v>585</v>
      </c>
      <c r="C38" t="s">
        <v>586</v>
      </c>
      <c r="D38">
        <v>18</v>
      </c>
      <c r="E38">
        <v>34</v>
      </c>
      <c r="F38">
        <v>1415</v>
      </c>
    </row>
    <row r="39" spans="1:6" x14ac:dyDescent="0.25">
      <c r="A39">
        <v>38</v>
      </c>
      <c r="B39" t="s">
        <v>613</v>
      </c>
      <c r="C39" t="s">
        <v>614</v>
      </c>
      <c r="D39">
        <v>15</v>
      </c>
      <c r="E39">
        <v>40</v>
      </c>
      <c r="F39">
        <v>1415</v>
      </c>
    </row>
    <row r="40" spans="1:6" x14ac:dyDescent="0.25">
      <c r="A40">
        <v>39</v>
      </c>
      <c r="B40" t="s">
        <v>587</v>
      </c>
      <c r="C40" t="s">
        <v>588</v>
      </c>
      <c r="D40">
        <v>1</v>
      </c>
      <c r="E40">
        <v>36</v>
      </c>
      <c r="F40">
        <v>1415</v>
      </c>
    </row>
    <row r="41" spans="1:6" x14ac:dyDescent="0.25">
      <c r="A41">
        <v>40</v>
      </c>
      <c r="B41" t="s">
        <v>581</v>
      </c>
      <c r="C41" t="s">
        <v>582</v>
      </c>
      <c r="D41">
        <v>2</v>
      </c>
      <c r="E41">
        <v>39</v>
      </c>
      <c r="F41">
        <v>1212</v>
      </c>
    </row>
    <row r="42" spans="1:6" x14ac:dyDescent="0.25">
      <c r="A42">
        <v>41</v>
      </c>
      <c r="B42" t="s">
        <v>594</v>
      </c>
      <c r="C42" t="s">
        <v>595</v>
      </c>
      <c r="D42">
        <v>7</v>
      </c>
      <c r="E42">
        <v>41</v>
      </c>
      <c r="F42">
        <v>1415</v>
      </c>
    </row>
    <row r="43" spans="1:6" x14ac:dyDescent="0.25">
      <c r="A43">
        <v>42</v>
      </c>
      <c r="B43" t="s">
        <v>700</v>
      </c>
      <c r="C43" t="s">
        <v>701</v>
      </c>
      <c r="D43">
        <v>7</v>
      </c>
      <c r="E43">
        <v>42</v>
      </c>
      <c r="F43">
        <v>1415</v>
      </c>
    </row>
    <row r="44" spans="1:6" x14ac:dyDescent="0.25">
      <c r="A44">
        <v>43</v>
      </c>
      <c r="B44" t="s">
        <v>640</v>
      </c>
      <c r="C44" t="s">
        <v>641</v>
      </c>
      <c r="D44">
        <v>2</v>
      </c>
      <c r="E44">
        <v>43</v>
      </c>
      <c r="F44">
        <v>1350</v>
      </c>
    </row>
    <row r="45" spans="1:6" x14ac:dyDescent="0.25">
      <c r="A45">
        <v>44</v>
      </c>
      <c r="B45" t="s">
        <v>589</v>
      </c>
      <c r="C45" t="s">
        <v>458</v>
      </c>
      <c r="D45">
        <v>4</v>
      </c>
      <c r="E45">
        <v>46</v>
      </c>
      <c r="F45">
        <v>1248</v>
      </c>
    </row>
    <row r="46" spans="1:6" x14ac:dyDescent="0.25">
      <c r="A46">
        <v>45</v>
      </c>
      <c r="B46" t="s">
        <v>596</v>
      </c>
      <c r="C46" t="s">
        <v>597</v>
      </c>
      <c r="D46">
        <v>6</v>
      </c>
      <c r="E46">
        <v>47</v>
      </c>
      <c r="F46">
        <v>1415</v>
      </c>
    </row>
    <row r="47" spans="1:6" x14ac:dyDescent="0.25">
      <c r="A47">
        <v>46</v>
      </c>
      <c r="B47" t="s">
        <v>602</v>
      </c>
      <c r="C47" t="s">
        <v>603</v>
      </c>
      <c r="D47">
        <v>7</v>
      </c>
      <c r="E47">
        <v>50</v>
      </c>
      <c r="F47">
        <v>419</v>
      </c>
    </row>
    <row r="48" spans="1:6" x14ac:dyDescent="0.25">
      <c r="A48">
        <v>47</v>
      </c>
      <c r="B48" t="s">
        <v>579</v>
      </c>
      <c r="C48" t="s">
        <v>580</v>
      </c>
      <c r="D48">
        <v>7</v>
      </c>
      <c r="E48">
        <v>44</v>
      </c>
      <c r="F48">
        <v>1118</v>
      </c>
    </row>
    <row r="49" spans="1:6" x14ac:dyDescent="0.25">
      <c r="A49">
        <v>48</v>
      </c>
      <c r="B49" t="s">
        <v>627</v>
      </c>
      <c r="C49" t="s">
        <v>628</v>
      </c>
      <c r="D49">
        <v>5</v>
      </c>
      <c r="E49">
        <v>55</v>
      </c>
      <c r="F49">
        <v>1415</v>
      </c>
    </row>
    <row r="50" spans="1:6" x14ac:dyDescent="0.25">
      <c r="A50">
        <v>49</v>
      </c>
      <c r="B50" t="s">
        <v>604</v>
      </c>
      <c r="C50" t="s">
        <v>605</v>
      </c>
      <c r="D50">
        <v>2</v>
      </c>
      <c r="E50">
        <v>49</v>
      </c>
      <c r="F50">
        <v>1415</v>
      </c>
    </row>
    <row r="51" spans="1:6" x14ac:dyDescent="0.25">
      <c r="A51">
        <v>50</v>
      </c>
      <c r="B51" t="s">
        <v>606</v>
      </c>
      <c r="C51" t="s">
        <v>607</v>
      </c>
      <c r="D51">
        <v>13</v>
      </c>
      <c r="E51">
        <v>54</v>
      </c>
      <c r="F51">
        <v>1415</v>
      </c>
    </row>
    <row r="52" spans="1:6" x14ac:dyDescent="0.25">
      <c r="A52">
        <v>51</v>
      </c>
      <c r="B52" t="s">
        <v>608</v>
      </c>
      <c r="C52" t="s">
        <v>609</v>
      </c>
      <c r="D52">
        <v>5</v>
      </c>
      <c r="E52">
        <v>48</v>
      </c>
      <c r="F52">
        <v>1251</v>
      </c>
    </row>
    <row r="53" spans="1:6" x14ac:dyDescent="0.25">
      <c r="A53">
        <v>52</v>
      </c>
      <c r="B53" t="s">
        <v>629</v>
      </c>
      <c r="C53" t="s">
        <v>29</v>
      </c>
      <c r="D53">
        <v>35</v>
      </c>
      <c r="E53">
        <v>65</v>
      </c>
      <c r="F53">
        <v>641</v>
      </c>
    </row>
    <row r="54" spans="1:6" x14ac:dyDescent="0.25">
      <c r="A54">
        <v>53</v>
      </c>
      <c r="B54" t="s">
        <v>590</v>
      </c>
      <c r="C54" t="s">
        <v>591</v>
      </c>
      <c r="D54">
        <v>2</v>
      </c>
      <c r="E54">
        <v>45</v>
      </c>
      <c r="F54">
        <v>1260</v>
      </c>
    </row>
    <row r="55" spans="1:6" x14ac:dyDescent="0.25">
      <c r="A55">
        <v>54</v>
      </c>
      <c r="B55" t="s">
        <v>598</v>
      </c>
      <c r="C55" t="s">
        <v>599</v>
      </c>
      <c r="D55">
        <v>3</v>
      </c>
      <c r="E55">
        <v>53</v>
      </c>
      <c r="F55">
        <v>1236</v>
      </c>
    </row>
    <row r="56" spans="1:6" x14ac:dyDescent="0.25">
      <c r="A56">
        <v>55</v>
      </c>
      <c r="B56" t="s">
        <v>600</v>
      </c>
      <c r="C56" t="s">
        <v>601</v>
      </c>
      <c r="D56">
        <v>20</v>
      </c>
      <c r="E56">
        <v>51</v>
      </c>
      <c r="F56">
        <v>1062</v>
      </c>
    </row>
    <row r="57" spans="1:6" x14ac:dyDescent="0.25">
      <c r="A57">
        <v>56</v>
      </c>
      <c r="B57" t="s">
        <v>610</v>
      </c>
      <c r="C57" t="s">
        <v>329</v>
      </c>
      <c r="D57">
        <v>6</v>
      </c>
      <c r="E57">
        <v>52</v>
      </c>
      <c r="F57">
        <v>1379</v>
      </c>
    </row>
    <row r="58" spans="1:6" x14ac:dyDescent="0.25">
      <c r="A58">
        <v>57</v>
      </c>
      <c r="B58" t="s">
        <v>619</v>
      </c>
      <c r="C58" t="s">
        <v>620</v>
      </c>
      <c r="D58">
        <v>1</v>
      </c>
      <c r="E58">
        <v>63</v>
      </c>
      <c r="F58">
        <v>1415</v>
      </c>
    </row>
    <row r="59" spans="1:6" x14ac:dyDescent="0.25">
      <c r="A59">
        <v>58</v>
      </c>
      <c r="B59" t="s">
        <v>623</v>
      </c>
      <c r="C59" t="s">
        <v>624</v>
      </c>
      <c r="D59">
        <v>5</v>
      </c>
      <c r="E59">
        <v>58</v>
      </c>
      <c r="F59">
        <v>882</v>
      </c>
    </row>
    <row r="60" spans="1:6" x14ac:dyDescent="0.25">
      <c r="A60">
        <v>59</v>
      </c>
      <c r="B60" t="s">
        <v>617</v>
      </c>
      <c r="C60" t="s">
        <v>618</v>
      </c>
      <c r="D60">
        <v>18</v>
      </c>
      <c r="E60">
        <v>60</v>
      </c>
      <c r="F60">
        <v>889</v>
      </c>
    </row>
    <row r="61" spans="1:6" x14ac:dyDescent="0.25">
      <c r="A61">
        <v>60</v>
      </c>
      <c r="B61" t="s">
        <v>621</v>
      </c>
      <c r="C61" t="s">
        <v>622</v>
      </c>
      <c r="D61">
        <v>29</v>
      </c>
      <c r="E61">
        <v>67</v>
      </c>
      <c r="F61">
        <v>1383</v>
      </c>
    </row>
    <row r="62" spans="1:6" x14ac:dyDescent="0.25">
      <c r="A62">
        <v>61</v>
      </c>
      <c r="B62" t="s">
        <v>3704</v>
      </c>
      <c r="C62" t="s">
        <v>3702</v>
      </c>
      <c r="D62">
        <v>47</v>
      </c>
      <c r="E62">
        <v>56</v>
      </c>
      <c r="F62">
        <v>197</v>
      </c>
    </row>
    <row r="63" spans="1:6" x14ac:dyDescent="0.25">
      <c r="A63">
        <v>62</v>
      </c>
      <c r="B63" t="s">
        <v>642</v>
      </c>
      <c r="C63" t="s">
        <v>281</v>
      </c>
      <c r="D63">
        <v>52</v>
      </c>
      <c r="E63">
        <v>62</v>
      </c>
      <c r="F63">
        <v>1413</v>
      </c>
    </row>
    <row r="64" spans="1:6" x14ac:dyDescent="0.25">
      <c r="A64">
        <v>63</v>
      </c>
      <c r="B64" t="s">
        <v>615</v>
      </c>
      <c r="C64" t="s">
        <v>616</v>
      </c>
      <c r="D64">
        <v>16</v>
      </c>
      <c r="E64">
        <v>61</v>
      </c>
      <c r="F64">
        <v>1415</v>
      </c>
    </row>
    <row r="65" spans="1:6" x14ac:dyDescent="0.25">
      <c r="A65">
        <v>64</v>
      </c>
      <c r="B65" t="s">
        <v>638</v>
      </c>
      <c r="C65" t="s">
        <v>639</v>
      </c>
      <c r="D65">
        <v>7</v>
      </c>
      <c r="E65">
        <v>59</v>
      </c>
      <c r="F65">
        <v>1415</v>
      </c>
    </row>
    <row r="66" spans="1:6" x14ac:dyDescent="0.25">
      <c r="A66">
        <v>65</v>
      </c>
      <c r="B66" t="s">
        <v>630</v>
      </c>
      <c r="C66" t="s">
        <v>631</v>
      </c>
      <c r="D66">
        <v>31</v>
      </c>
      <c r="E66">
        <v>72</v>
      </c>
      <c r="F66">
        <v>320</v>
      </c>
    </row>
    <row r="67" spans="1:6" x14ac:dyDescent="0.25">
      <c r="A67">
        <v>66</v>
      </c>
      <c r="B67" t="s">
        <v>636</v>
      </c>
      <c r="C67" t="s">
        <v>637</v>
      </c>
      <c r="D67">
        <v>1</v>
      </c>
      <c r="E67">
        <v>71</v>
      </c>
      <c r="F67">
        <v>1415</v>
      </c>
    </row>
    <row r="68" spans="1:6" x14ac:dyDescent="0.25">
      <c r="A68">
        <v>67</v>
      </c>
      <c r="B68" t="s">
        <v>647</v>
      </c>
      <c r="C68" t="s">
        <v>648</v>
      </c>
      <c r="D68">
        <v>4</v>
      </c>
      <c r="E68">
        <v>66</v>
      </c>
      <c r="F68">
        <v>1140</v>
      </c>
    </row>
    <row r="69" spans="1:6" x14ac:dyDescent="0.25">
      <c r="A69">
        <v>68</v>
      </c>
      <c r="B69" t="s">
        <v>611</v>
      </c>
      <c r="C69" t="s">
        <v>612</v>
      </c>
      <c r="D69">
        <v>12</v>
      </c>
      <c r="E69">
        <v>69</v>
      </c>
      <c r="F69">
        <v>1363</v>
      </c>
    </row>
    <row r="70" spans="1:6" x14ac:dyDescent="0.25">
      <c r="A70">
        <v>69</v>
      </c>
      <c r="B70" t="s">
        <v>643</v>
      </c>
      <c r="C70" t="s">
        <v>644</v>
      </c>
      <c r="D70">
        <v>37</v>
      </c>
      <c r="E70">
        <v>81</v>
      </c>
      <c r="F70">
        <v>137</v>
      </c>
    </row>
    <row r="71" spans="1:6" x14ac:dyDescent="0.25">
      <c r="A71">
        <v>70</v>
      </c>
      <c r="B71" t="s">
        <v>653</v>
      </c>
      <c r="C71" t="s">
        <v>654</v>
      </c>
      <c r="D71">
        <v>4</v>
      </c>
      <c r="E71">
        <v>68</v>
      </c>
      <c r="F71">
        <v>1415</v>
      </c>
    </row>
    <row r="72" spans="1:6" x14ac:dyDescent="0.25">
      <c r="A72">
        <v>71</v>
      </c>
      <c r="B72" t="s">
        <v>625</v>
      </c>
      <c r="C72" t="s">
        <v>626</v>
      </c>
      <c r="D72">
        <v>1</v>
      </c>
      <c r="E72">
        <v>64</v>
      </c>
      <c r="F72">
        <v>1415</v>
      </c>
    </row>
    <row r="73" spans="1:6" x14ac:dyDescent="0.25">
      <c r="A73">
        <v>72</v>
      </c>
      <c r="B73" t="s">
        <v>645</v>
      </c>
      <c r="C73" t="s">
        <v>646</v>
      </c>
      <c r="D73">
        <v>6</v>
      </c>
      <c r="E73">
        <v>73</v>
      </c>
      <c r="F73">
        <v>1415</v>
      </c>
    </row>
    <row r="74" spans="1:6" x14ac:dyDescent="0.25">
      <c r="A74">
        <v>73</v>
      </c>
      <c r="B74" t="s">
        <v>651</v>
      </c>
      <c r="C74" t="s">
        <v>652</v>
      </c>
      <c r="D74">
        <v>56</v>
      </c>
      <c r="E74">
        <v>70</v>
      </c>
      <c r="F74">
        <v>1273</v>
      </c>
    </row>
    <row r="75" spans="1:6" x14ac:dyDescent="0.25">
      <c r="A75">
        <v>74</v>
      </c>
      <c r="B75" t="s">
        <v>656</v>
      </c>
      <c r="C75" t="s">
        <v>657</v>
      </c>
      <c r="D75">
        <v>43</v>
      </c>
      <c r="E75">
        <v>75</v>
      </c>
      <c r="F75">
        <v>343</v>
      </c>
    </row>
    <row r="76" spans="1:6" x14ac:dyDescent="0.25">
      <c r="A76">
        <v>75</v>
      </c>
      <c r="B76" t="s">
        <v>634</v>
      </c>
      <c r="C76" t="s">
        <v>635</v>
      </c>
      <c r="D76">
        <v>6</v>
      </c>
      <c r="E76">
        <v>74</v>
      </c>
      <c r="F76">
        <v>1413</v>
      </c>
    </row>
    <row r="77" spans="1:6" x14ac:dyDescent="0.25">
      <c r="A77">
        <v>76</v>
      </c>
      <c r="B77" t="s">
        <v>632</v>
      </c>
      <c r="C77" t="s">
        <v>633</v>
      </c>
      <c r="D77">
        <v>5</v>
      </c>
      <c r="E77">
        <v>57</v>
      </c>
      <c r="F77">
        <v>1415</v>
      </c>
    </row>
    <row r="78" spans="1:6" x14ac:dyDescent="0.25">
      <c r="A78">
        <v>77</v>
      </c>
      <c r="B78" t="s">
        <v>649</v>
      </c>
      <c r="C78" t="s">
        <v>650</v>
      </c>
      <c r="D78">
        <v>19</v>
      </c>
      <c r="E78">
        <v>76</v>
      </c>
      <c r="F78">
        <v>1406</v>
      </c>
    </row>
    <row r="79" spans="1:6" x14ac:dyDescent="0.25">
      <c r="A79">
        <v>78</v>
      </c>
      <c r="B79" t="s">
        <v>662</v>
      </c>
      <c r="C79" t="s">
        <v>663</v>
      </c>
      <c r="D79">
        <v>39</v>
      </c>
      <c r="E79">
        <v>82</v>
      </c>
      <c r="F79">
        <v>832</v>
      </c>
    </row>
    <row r="80" spans="1:6" x14ac:dyDescent="0.25">
      <c r="A80">
        <v>79</v>
      </c>
      <c r="B80" t="s">
        <v>655</v>
      </c>
      <c r="C80" t="s">
        <v>511</v>
      </c>
      <c r="D80">
        <v>1</v>
      </c>
      <c r="E80">
        <v>78</v>
      </c>
      <c r="F80">
        <v>1415</v>
      </c>
    </row>
    <row r="81" spans="1:6" x14ac:dyDescent="0.25">
      <c r="A81">
        <v>80</v>
      </c>
      <c r="B81" t="s">
        <v>658</v>
      </c>
      <c r="C81" t="s">
        <v>659</v>
      </c>
      <c r="D81">
        <v>20</v>
      </c>
      <c r="E81">
        <v>77</v>
      </c>
      <c r="F81">
        <v>1407</v>
      </c>
    </row>
    <row r="82" spans="1:6" x14ac:dyDescent="0.25">
      <c r="A82">
        <v>81</v>
      </c>
      <c r="B82" t="s">
        <v>668</v>
      </c>
      <c r="C82" t="s">
        <v>669</v>
      </c>
      <c r="D82">
        <v>2</v>
      </c>
      <c r="E82">
        <v>85</v>
      </c>
      <c r="F82">
        <v>1415</v>
      </c>
    </row>
    <row r="83" spans="1:6" x14ac:dyDescent="0.25">
      <c r="A83">
        <v>82</v>
      </c>
      <c r="B83" t="s">
        <v>660</v>
      </c>
      <c r="C83" t="s">
        <v>661</v>
      </c>
      <c r="D83">
        <v>59</v>
      </c>
      <c r="E83">
        <v>89</v>
      </c>
      <c r="F83">
        <v>109</v>
      </c>
    </row>
    <row r="84" spans="1:6" x14ac:dyDescent="0.25">
      <c r="A84">
        <v>83</v>
      </c>
      <c r="B84" t="s">
        <v>672</v>
      </c>
      <c r="C84" t="s">
        <v>673</v>
      </c>
      <c r="D84">
        <v>20</v>
      </c>
      <c r="E84">
        <v>90</v>
      </c>
      <c r="F84">
        <v>1415</v>
      </c>
    </row>
    <row r="85" spans="1:6" x14ac:dyDescent="0.25">
      <c r="A85">
        <v>84</v>
      </c>
      <c r="B85" t="s">
        <v>670</v>
      </c>
      <c r="C85" t="s">
        <v>671</v>
      </c>
      <c r="D85">
        <v>10</v>
      </c>
      <c r="E85">
        <v>84</v>
      </c>
      <c r="F85">
        <v>60</v>
      </c>
    </row>
    <row r="86" spans="1:6" x14ac:dyDescent="0.25">
      <c r="A86">
        <v>85</v>
      </c>
      <c r="B86" t="s">
        <v>666</v>
      </c>
      <c r="C86" t="s">
        <v>667</v>
      </c>
      <c r="D86">
        <v>9</v>
      </c>
      <c r="E86">
        <v>83</v>
      </c>
      <c r="F86">
        <v>1415</v>
      </c>
    </row>
    <row r="87" spans="1:6" x14ac:dyDescent="0.25">
      <c r="A87">
        <v>86</v>
      </c>
      <c r="B87" t="s">
        <v>679</v>
      </c>
      <c r="C87" t="s">
        <v>680</v>
      </c>
      <c r="D87">
        <v>3</v>
      </c>
      <c r="E87">
        <v>80</v>
      </c>
      <c r="F87">
        <v>1415</v>
      </c>
    </row>
    <row r="88" spans="1:6" x14ac:dyDescent="0.25">
      <c r="A88">
        <v>87</v>
      </c>
      <c r="B88" t="s">
        <v>686</v>
      </c>
      <c r="C88" t="s">
        <v>687</v>
      </c>
      <c r="D88">
        <v>1</v>
      </c>
      <c r="E88">
        <v>98</v>
      </c>
      <c r="F88">
        <v>1380</v>
      </c>
    </row>
    <row r="89" spans="1:6" x14ac:dyDescent="0.25">
      <c r="A89">
        <v>88</v>
      </c>
      <c r="B89" t="s">
        <v>675</v>
      </c>
      <c r="C89" t="s">
        <v>676</v>
      </c>
      <c r="D89">
        <v>3</v>
      </c>
      <c r="E89">
        <v>79</v>
      </c>
      <c r="F89">
        <v>1415</v>
      </c>
    </row>
    <row r="90" spans="1:6" x14ac:dyDescent="0.25">
      <c r="A90">
        <v>89</v>
      </c>
      <c r="B90" t="s">
        <v>696</v>
      </c>
      <c r="C90" t="s">
        <v>697</v>
      </c>
      <c r="D90">
        <v>4</v>
      </c>
      <c r="E90">
        <v>93</v>
      </c>
      <c r="F90">
        <v>1415</v>
      </c>
    </row>
    <row r="91" spans="1:6" x14ac:dyDescent="0.25">
      <c r="A91">
        <v>90</v>
      </c>
      <c r="B91" t="s">
        <v>690</v>
      </c>
      <c r="C91" t="s">
        <v>691</v>
      </c>
      <c r="D91">
        <v>5</v>
      </c>
      <c r="E91">
        <v>87</v>
      </c>
      <c r="F91">
        <v>1415</v>
      </c>
    </row>
    <row r="92" spans="1:6" x14ac:dyDescent="0.25">
      <c r="A92">
        <v>91</v>
      </c>
      <c r="B92" t="s">
        <v>722</v>
      </c>
      <c r="C92" t="s">
        <v>723</v>
      </c>
      <c r="D92">
        <v>8</v>
      </c>
      <c r="E92">
        <v>94</v>
      </c>
      <c r="F92">
        <v>1411</v>
      </c>
    </row>
    <row r="93" spans="1:6" x14ac:dyDescent="0.25">
      <c r="A93">
        <v>92</v>
      </c>
      <c r="B93" t="s">
        <v>664</v>
      </c>
      <c r="C93" t="s">
        <v>665</v>
      </c>
      <c r="D93">
        <v>2</v>
      </c>
      <c r="E93">
        <v>88</v>
      </c>
      <c r="F93">
        <v>1298</v>
      </c>
    </row>
    <row r="94" spans="1:6" x14ac:dyDescent="0.25">
      <c r="A94">
        <v>93</v>
      </c>
      <c r="B94" t="s">
        <v>694</v>
      </c>
      <c r="C94" t="s">
        <v>695</v>
      </c>
      <c r="D94">
        <v>15</v>
      </c>
      <c r="E94">
        <v>91</v>
      </c>
      <c r="F94">
        <v>1415</v>
      </c>
    </row>
    <row r="95" spans="1:6" x14ac:dyDescent="0.25">
      <c r="A95">
        <v>94</v>
      </c>
      <c r="B95" t="s">
        <v>684</v>
      </c>
      <c r="C95" t="s">
        <v>685</v>
      </c>
      <c r="D95">
        <v>83</v>
      </c>
      <c r="E95">
        <v>95</v>
      </c>
      <c r="F95">
        <v>554</v>
      </c>
    </row>
    <row r="96" spans="1:6" x14ac:dyDescent="0.25">
      <c r="A96">
        <v>95</v>
      </c>
      <c r="B96" t="s">
        <v>715</v>
      </c>
      <c r="C96" t="s">
        <v>716</v>
      </c>
      <c r="D96">
        <v>85</v>
      </c>
      <c r="E96">
        <v>96</v>
      </c>
      <c r="F96">
        <v>634</v>
      </c>
    </row>
    <row r="97" spans="1:6" x14ac:dyDescent="0.25">
      <c r="A97">
        <v>96</v>
      </c>
      <c r="B97" t="s">
        <v>677</v>
      </c>
      <c r="C97" t="s">
        <v>678</v>
      </c>
      <c r="D97">
        <v>82</v>
      </c>
      <c r="E97">
        <v>86</v>
      </c>
      <c r="F97">
        <v>1408</v>
      </c>
    </row>
    <row r="98" spans="1:6" x14ac:dyDescent="0.25">
      <c r="A98">
        <v>97</v>
      </c>
      <c r="B98" t="s">
        <v>704</v>
      </c>
      <c r="C98" t="s">
        <v>705</v>
      </c>
      <c r="D98">
        <v>27</v>
      </c>
      <c r="E98">
        <v>92</v>
      </c>
      <c r="F98">
        <v>393</v>
      </c>
    </row>
    <row r="99" spans="1:6" x14ac:dyDescent="0.25">
      <c r="A99">
        <v>98</v>
      </c>
      <c r="B99" t="s">
        <v>709</v>
      </c>
      <c r="C99" t="s">
        <v>710</v>
      </c>
      <c r="D99">
        <v>27</v>
      </c>
      <c r="E99">
        <v>97</v>
      </c>
      <c r="F99">
        <v>1413</v>
      </c>
    </row>
    <row r="100" spans="1:6" x14ac:dyDescent="0.25">
      <c r="A100">
        <v>99</v>
      </c>
      <c r="B100" t="s">
        <v>681</v>
      </c>
      <c r="C100" t="s">
        <v>415</v>
      </c>
      <c r="D100">
        <v>8</v>
      </c>
      <c r="E100">
        <v>103</v>
      </c>
      <c r="F100">
        <v>1415</v>
      </c>
    </row>
    <row r="101" spans="1:6" x14ac:dyDescent="0.25">
      <c r="A101">
        <v>100</v>
      </c>
      <c r="B101" t="s">
        <v>708</v>
      </c>
      <c r="C101" t="s">
        <v>481</v>
      </c>
      <c r="D101">
        <v>3</v>
      </c>
      <c r="E101">
        <v>99</v>
      </c>
      <c r="F101">
        <v>1411</v>
      </c>
    </row>
    <row r="102" spans="1:6" x14ac:dyDescent="0.25">
      <c r="A102">
        <v>101</v>
      </c>
      <c r="B102" t="s">
        <v>698</v>
      </c>
      <c r="C102" t="s">
        <v>699</v>
      </c>
      <c r="D102">
        <v>37</v>
      </c>
      <c r="E102">
        <v>102</v>
      </c>
      <c r="F102">
        <v>1410</v>
      </c>
    </row>
    <row r="103" spans="1:6" x14ac:dyDescent="0.25">
      <c r="A103">
        <v>102</v>
      </c>
      <c r="B103" t="s">
        <v>702</v>
      </c>
      <c r="C103" t="s">
        <v>703</v>
      </c>
      <c r="D103">
        <v>6</v>
      </c>
      <c r="E103">
        <v>100</v>
      </c>
      <c r="F103">
        <v>1412</v>
      </c>
    </row>
    <row r="104" spans="1:6" x14ac:dyDescent="0.25">
      <c r="A104">
        <v>103</v>
      </c>
      <c r="B104" t="s">
        <v>738</v>
      </c>
      <c r="C104" t="s">
        <v>739</v>
      </c>
      <c r="D104">
        <v>4</v>
      </c>
      <c r="E104">
        <v>101</v>
      </c>
      <c r="F104">
        <v>1216</v>
      </c>
    </row>
    <row r="105" spans="1:6" x14ac:dyDescent="0.25">
      <c r="A105">
        <v>104</v>
      </c>
      <c r="B105" t="s">
        <v>772</v>
      </c>
      <c r="C105" t="s">
        <v>36</v>
      </c>
      <c r="D105">
        <v>74</v>
      </c>
      <c r="E105">
        <v>128</v>
      </c>
      <c r="F105">
        <v>151</v>
      </c>
    </row>
    <row r="106" spans="1:6" x14ac:dyDescent="0.25">
      <c r="A106">
        <v>105</v>
      </c>
      <c r="B106" t="s">
        <v>779</v>
      </c>
      <c r="C106" t="s">
        <v>780</v>
      </c>
      <c r="D106">
        <v>95</v>
      </c>
      <c r="E106">
        <v>104</v>
      </c>
      <c r="F106">
        <v>228</v>
      </c>
    </row>
    <row r="107" spans="1:6" x14ac:dyDescent="0.25">
      <c r="A107">
        <v>106</v>
      </c>
      <c r="B107" t="s">
        <v>795</v>
      </c>
      <c r="C107" t="s">
        <v>100</v>
      </c>
      <c r="D107">
        <v>39</v>
      </c>
      <c r="E107">
        <v>115</v>
      </c>
      <c r="F107">
        <v>1296</v>
      </c>
    </row>
    <row r="108" spans="1:6" x14ac:dyDescent="0.25">
      <c r="A108">
        <v>107</v>
      </c>
      <c r="B108" t="s">
        <v>734</v>
      </c>
      <c r="C108" t="s">
        <v>735</v>
      </c>
      <c r="D108">
        <v>66</v>
      </c>
      <c r="E108">
        <v>107</v>
      </c>
      <c r="F108">
        <v>942</v>
      </c>
    </row>
    <row r="109" spans="1:6" x14ac:dyDescent="0.25">
      <c r="A109">
        <v>108</v>
      </c>
      <c r="B109" t="s">
        <v>819</v>
      </c>
      <c r="C109" t="s">
        <v>820</v>
      </c>
      <c r="D109">
        <v>6</v>
      </c>
      <c r="E109">
        <v>109</v>
      </c>
      <c r="F109">
        <v>1363</v>
      </c>
    </row>
    <row r="110" spans="1:6" x14ac:dyDescent="0.25">
      <c r="A110">
        <v>109</v>
      </c>
      <c r="B110" t="s">
        <v>692</v>
      </c>
      <c r="C110" t="s">
        <v>693</v>
      </c>
      <c r="D110">
        <v>33</v>
      </c>
      <c r="E110">
        <v>105</v>
      </c>
      <c r="F110">
        <v>1415</v>
      </c>
    </row>
    <row r="111" spans="1:6" x14ac:dyDescent="0.25">
      <c r="A111">
        <v>110</v>
      </c>
      <c r="B111" t="s">
        <v>706</v>
      </c>
      <c r="C111" t="s">
        <v>707</v>
      </c>
      <c r="D111">
        <v>20</v>
      </c>
      <c r="E111">
        <v>108</v>
      </c>
      <c r="F111">
        <v>548</v>
      </c>
    </row>
    <row r="112" spans="1:6" x14ac:dyDescent="0.25">
      <c r="A112">
        <v>111</v>
      </c>
      <c r="B112" t="s">
        <v>711</v>
      </c>
      <c r="C112" t="s">
        <v>712</v>
      </c>
      <c r="D112">
        <v>36</v>
      </c>
      <c r="E112">
        <v>113</v>
      </c>
      <c r="F112">
        <v>1070</v>
      </c>
    </row>
    <row r="113" spans="1:6" x14ac:dyDescent="0.25">
      <c r="A113">
        <v>112</v>
      </c>
      <c r="B113" t="s">
        <v>724</v>
      </c>
      <c r="C113" t="s">
        <v>725</v>
      </c>
      <c r="D113">
        <v>3</v>
      </c>
      <c r="E113">
        <v>114</v>
      </c>
      <c r="F113">
        <v>1405</v>
      </c>
    </row>
    <row r="114" spans="1:6" x14ac:dyDescent="0.25">
      <c r="A114">
        <v>113</v>
      </c>
      <c r="B114" t="s">
        <v>682</v>
      </c>
      <c r="C114" t="s">
        <v>683</v>
      </c>
      <c r="D114">
        <v>5</v>
      </c>
      <c r="E114">
        <v>112</v>
      </c>
      <c r="F114">
        <v>1275</v>
      </c>
    </row>
    <row r="115" spans="1:6" x14ac:dyDescent="0.25">
      <c r="A115">
        <v>114</v>
      </c>
      <c r="B115" t="s">
        <v>713</v>
      </c>
      <c r="C115" t="s">
        <v>714</v>
      </c>
      <c r="D115">
        <v>26</v>
      </c>
      <c r="E115">
        <v>106</v>
      </c>
      <c r="F115">
        <v>1013</v>
      </c>
    </row>
    <row r="116" spans="1:6" x14ac:dyDescent="0.25">
      <c r="A116">
        <v>115</v>
      </c>
      <c r="B116" t="s">
        <v>824</v>
      </c>
      <c r="C116" t="s">
        <v>825</v>
      </c>
      <c r="D116">
        <v>21</v>
      </c>
      <c r="E116">
        <v>121</v>
      </c>
      <c r="F116">
        <v>640</v>
      </c>
    </row>
    <row r="117" spans="1:6" x14ac:dyDescent="0.25">
      <c r="A117">
        <v>116</v>
      </c>
      <c r="B117" t="s">
        <v>728</v>
      </c>
      <c r="C117" t="s">
        <v>729</v>
      </c>
      <c r="D117">
        <v>105</v>
      </c>
      <c r="E117">
        <v>111</v>
      </c>
      <c r="F117">
        <v>29</v>
      </c>
    </row>
    <row r="118" spans="1:6" x14ac:dyDescent="0.25">
      <c r="A118">
        <v>117</v>
      </c>
      <c r="B118" t="s">
        <v>688</v>
      </c>
      <c r="C118" t="s">
        <v>689</v>
      </c>
      <c r="D118">
        <v>12</v>
      </c>
      <c r="E118">
        <v>110</v>
      </c>
      <c r="F118">
        <v>965</v>
      </c>
    </row>
    <row r="119" spans="1:6" x14ac:dyDescent="0.25">
      <c r="A119">
        <v>118</v>
      </c>
      <c r="B119" t="s">
        <v>726</v>
      </c>
      <c r="C119" t="s">
        <v>727</v>
      </c>
      <c r="D119">
        <v>21</v>
      </c>
      <c r="E119">
        <v>129</v>
      </c>
      <c r="F119">
        <v>1415</v>
      </c>
    </row>
    <row r="120" spans="1:6" x14ac:dyDescent="0.25">
      <c r="A120">
        <v>119</v>
      </c>
      <c r="B120" t="s">
        <v>747</v>
      </c>
      <c r="C120" t="s">
        <v>748</v>
      </c>
      <c r="D120">
        <v>108</v>
      </c>
      <c r="E120">
        <v>124</v>
      </c>
      <c r="F120">
        <v>154</v>
      </c>
    </row>
    <row r="121" spans="1:6" x14ac:dyDescent="0.25">
      <c r="A121">
        <v>120</v>
      </c>
      <c r="B121" t="s">
        <v>836</v>
      </c>
      <c r="C121" t="s">
        <v>837</v>
      </c>
      <c r="D121">
        <v>50</v>
      </c>
      <c r="E121">
        <v>144</v>
      </c>
      <c r="F121">
        <v>175</v>
      </c>
    </row>
    <row r="122" spans="1:6" x14ac:dyDescent="0.25">
      <c r="A122">
        <v>121</v>
      </c>
      <c r="B122" t="s">
        <v>719</v>
      </c>
      <c r="C122" t="s">
        <v>720</v>
      </c>
      <c r="D122">
        <v>33</v>
      </c>
      <c r="E122">
        <v>118</v>
      </c>
      <c r="F122">
        <v>1236</v>
      </c>
    </row>
    <row r="123" spans="1:6" x14ac:dyDescent="0.25">
      <c r="A123">
        <v>122</v>
      </c>
      <c r="B123" t="s">
        <v>749</v>
      </c>
      <c r="C123" t="s">
        <v>750</v>
      </c>
      <c r="D123">
        <v>44</v>
      </c>
      <c r="E123">
        <v>131</v>
      </c>
      <c r="F123">
        <v>1251</v>
      </c>
    </row>
    <row r="124" spans="1:6" x14ac:dyDescent="0.25">
      <c r="A124">
        <v>123</v>
      </c>
      <c r="B124" t="s">
        <v>773</v>
      </c>
      <c r="C124" t="s">
        <v>774</v>
      </c>
      <c r="D124">
        <v>12</v>
      </c>
      <c r="E124">
        <v>119</v>
      </c>
      <c r="F124">
        <v>604</v>
      </c>
    </row>
    <row r="125" spans="1:6" x14ac:dyDescent="0.25">
      <c r="A125">
        <v>124</v>
      </c>
      <c r="B125" t="s">
        <v>742</v>
      </c>
      <c r="C125" t="s">
        <v>743</v>
      </c>
      <c r="D125">
        <v>50</v>
      </c>
      <c r="E125">
        <v>117</v>
      </c>
      <c r="F125">
        <v>509</v>
      </c>
    </row>
    <row r="126" spans="1:6" x14ac:dyDescent="0.25">
      <c r="A126">
        <v>125</v>
      </c>
      <c r="B126" t="s">
        <v>761</v>
      </c>
      <c r="C126" t="s">
        <v>129</v>
      </c>
      <c r="D126">
        <v>110</v>
      </c>
      <c r="E126">
        <v>132</v>
      </c>
      <c r="F126">
        <v>224</v>
      </c>
    </row>
    <row r="127" spans="1:6" x14ac:dyDescent="0.25">
      <c r="A127">
        <v>126</v>
      </c>
      <c r="B127" t="s">
        <v>744</v>
      </c>
      <c r="C127" t="s">
        <v>745</v>
      </c>
      <c r="D127">
        <v>77</v>
      </c>
      <c r="E127">
        <v>126</v>
      </c>
      <c r="F127">
        <v>1258</v>
      </c>
    </row>
    <row r="128" spans="1:6" x14ac:dyDescent="0.25">
      <c r="A128">
        <v>127</v>
      </c>
      <c r="B128" t="s">
        <v>736</v>
      </c>
      <c r="C128" t="s">
        <v>164</v>
      </c>
      <c r="D128">
        <v>101</v>
      </c>
      <c r="E128">
        <v>134</v>
      </c>
      <c r="F128">
        <v>150</v>
      </c>
    </row>
    <row r="129" spans="1:6" x14ac:dyDescent="0.25">
      <c r="A129">
        <v>128</v>
      </c>
      <c r="B129" t="s">
        <v>737</v>
      </c>
      <c r="C129" t="s">
        <v>520</v>
      </c>
      <c r="D129">
        <v>117</v>
      </c>
      <c r="E129">
        <v>127</v>
      </c>
      <c r="F129">
        <v>1324</v>
      </c>
    </row>
    <row r="130" spans="1:6" x14ac:dyDescent="0.25">
      <c r="A130">
        <v>129</v>
      </c>
      <c r="B130" t="s">
        <v>730</v>
      </c>
      <c r="C130" t="s">
        <v>731</v>
      </c>
      <c r="D130">
        <v>28</v>
      </c>
      <c r="E130">
        <v>120</v>
      </c>
      <c r="F130">
        <v>1300</v>
      </c>
    </row>
    <row r="131" spans="1:6" x14ac:dyDescent="0.25">
      <c r="A131">
        <v>130</v>
      </c>
      <c r="B131" t="s">
        <v>753</v>
      </c>
      <c r="C131" t="s">
        <v>754</v>
      </c>
      <c r="D131">
        <v>95</v>
      </c>
      <c r="E131">
        <v>123</v>
      </c>
      <c r="F131">
        <v>79</v>
      </c>
    </row>
    <row r="132" spans="1:6" x14ac:dyDescent="0.25">
      <c r="A132">
        <v>131</v>
      </c>
      <c r="B132" t="s">
        <v>732</v>
      </c>
      <c r="C132" t="s">
        <v>733</v>
      </c>
      <c r="D132">
        <v>13</v>
      </c>
      <c r="E132">
        <v>122</v>
      </c>
      <c r="F132">
        <v>1415</v>
      </c>
    </row>
    <row r="133" spans="1:6" x14ac:dyDescent="0.25">
      <c r="A133">
        <v>132</v>
      </c>
      <c r="B133" t="s">
        <v>762</v>
      </c>
      <c r="C133" t="s">
        <v>763</v>
      </c>
      <c r="D133">
        <v>59</v>
      </c>
      <c r="E133">
        <v>130</v>
      </c>
      <c r="F133">
        <v>1336</v>
      </c>
    </row>
    <row r="134" spans="1:6" x14ac:dyDescent="0.25">
      <c r="A134">
        <v>133</v>
      </c>
      <c r="B134" t="s">
        <v>751</v>
      </c>
      <c r="C134" t="s">
        <v>752</v>
      </c>
      <c r="D134">
        <v>12</v>
      </c>
      <c r="E134">
        <v>125</v>
      </c>
      <c r="F134">
        <v>1415</v>
      </c>
    </row>
    <row r="135" spans="1:6" x14ac:dyDescent="0.25">
      <c r="A135">
        <v>134</v>
      </c>
      <c r="B135" t="s">
        <v>717</v>
      </c>
      <c r="C135" t="s">
        <v>718</v>
      </c>
      <c r="D135">
        <v>42</v>
      </c>
      <c r="E135">
        <v>133</v>
      </c>
      <c r="F135">
        <v>286</v>
      </c>
    </row>
    <row r="136" spans="1:6" x14ac:dyDescent="0.25">
      <c r="A136">
        <v>135</v>
      </c>
      <c r="B136" t="s">
        <v>740</v>
      </c>
      <c r="C136" t="s">
        <v>741</v>
      </c>
      <c r="D136">
        <v>116</v>
      </c>
      <c r="E136">
        <v>116</v>
      </c>
      <c r="F136">
        <v>474</v>
      </c>
    </row>
    <row r="137" spans="1:6" x14ac:dyDescent="0.25">
      <c r="A137">
        <v>136</v>
      </c>
      <c r="B137" t="s">
        <v>768</v>
      </c>
      <c r="C137" t="s">
        <v>769</v>
      </c>
      <c r="D137">
        <v>19</v>
      </c>
      <c r="E137">
        <v>135</v>
      </c>
      <c r="F137">
        <v>1302</v>
      </c>
    </row>
    <row r="138" spans="1:6" x14ac:dyDescent="0.25">
      <c r="A138">
        <v>137</v>
      </c>
      <c r="B138" t="s">
        <v>789</v>
      </c>
      <c r="C138" t="s">
        <v>790</v>
      </c>
      <c r="D138">
        <v>36</v>
      </c>
      <c r="E138">
        <v>136</v>
      </c>
      <c r="F138">
        <v>1415</v>
      </c>
    </row>
    <row r="139" spans="1:6" x14ac:dyDescent="0.25">
      <c r="A139">
        <v>138</v>
      </c>
      <c r="B139" t="s">
        <v>781</v>
      </c>
      <c r="C139" t="s">
        <v>782</v>
      </c>
      <c r="D139">
        <v>11</v>
      </c>
      <c r="E139">
        <v>143</v>
      </c>
      <c r="F139">
        <v>1212</v>
      </c>
    </row>
    <row r="140" spans="1:6" x14ac:dyDescent="0.25">
      <c r="A140">
        <v>139</v>
      </c>
      <c r="B140" t="s">
        <v>787</v>
      </c>
      <c r="C140" t="s">
        <v>788</v>
      </c>
      <c r="D140">
        <v>4</v>
      </c>
      <c r="E140">
        <v>139</v>
      </c>
      <c r="F140">
        <v>907</v>
      </c>
    </row>
    <row r="141" spans="1:6" x14ac:dyDescent="0.25">
      <c r="A141">
        <v>140</v>
      </c>
      <c r="B141" t="s">
        <v>766</v>
      </c>
      <c r="C141" t="s">
        <v>767</v>
      </c>
      <c r="D141">
        <v>11</v>
      </c>
      <c r="E141">
        <v>138</v>
      </c>
      <c r="F141">
        <v>1173</v>
      </c>
    </row>
    <row r="142" spans="1:6" x14ac:dyDescent="0.25">
      <c r="A142">
        <v>141</v>
      </c>
      <c r="B142" t="s">
        <v>810</v>
      </c>
      <c r="C142" t="s">
        <v>368</v>
      </c>
      <c r="D142">
        <v>83</v>
      </c>
      <c r="E142">
        <v>146</v>
      </c>
      <c r="F142">
        <v>1415</v>
      </c>
    </row>
    <row r="143" spans="1:6" x14ac:dyDescent="0.25">
      <c r="A143">
        <v>142</v>
      </c>
      <c r="B143" t="s">
        <v>770</v>
      </c>
      <c r="C143" t="s">
        <v>771</v>
      </c>
      <c r="D143">
        <v>6</v>
      </c>
      <c r="E143">
        <v>140</v>
      </c>
      <c r="F143">
        <v>1315</v>
      </c>
    </row>
    <row r="144" spans="1:6" x14ac:dyDescent="0.25">
      <c r="A144">
        <v>143</v>
      </c>
      <c r="B144" t="s">
        <v>721</v>
      </c>
      <c r="C144" t="s">
        <v>247</v>
      </c>
      <c r="D144">
        <v>9</v>
      </c>
      <c r="E144">
        <v>148</v>
      </c>
      <c r="F144">
        <v>1402</v>
      </c>
    </row>
    <row r="145" spans="1:6" x14ac:dyDescent="0.25">
      <c r="A145">
        <v>144</v>
      </c>
      <c r="B145" t="s">
        <v>4558</v>
      </c>
      <c r="C145" t="s">
        <v>2425</v>
      </c>
      <c r="D145">
        <v>132</v>
      </c>
      <c r="E145">
        <v>164</v>
      </c>
      <c r="F145">
        <v>28</v>
      </c>
    </row>
    <row r="146" spans="1:6" x14ac:dyDescent="0.25">
      <c r="A146">
        <v>145</v>
      </c>
      <c r="B146" t="s">
        <v>755</v>
      </c>
      <c r="C146" t="s">
        <v>756</v>
      </c>
      <c r="D146">
        <v>51</v>
      </c>
      <c r="E146">
        <v>142</v>
      </c>
      <c r="F146">
        <v>1145</v>
      </c>
    </row>
    <row r="147" spans="1:6" x14ac:dyDescent="0.25">
      <c r="A147">
        <v>146</v>
      </c>
      <c r="B147" t="s">
        <v>793</v>
      </c>
      <c r="C147" t="s">
        <v>794</v>
      </c>
      <c r="D147">
        <v>94</v>
      </c>
      <c r="E147">
        <v>150</v>
      </c>
      <c r="F147">
        <v>301</v>
      </c>
    </row>
    <row r="148" spans="1:6" x14ac:dyDescent="0.25">
      <c r="A148">
        <v>147</v>
      </c>
      <c r="B148" t="s">
        <v>757</v>
      </c>
      <c r="C148" t="s">
        <v>758</v>
      </c>
      <c r="D148">
        <v>42</v>
      </c>
      <c r="E148">
        <v>141</v>
      </c>
      <c r="F148">
        <v>1109</v>
      </c>
    </row>
    <row r="149" spans="1:6" x14ac:dyDescent="0.25">
      <c r="A149">
        <v>148</v>
      </c>
      <c r="B149" t="s">
        <v>764</v>
      </c>
      <c r="C149" t="s">
        <v>765</v>
      </c>
      <c r="D149">
        <v>96</v>
      </c>
      <c r="E149">
        <v>155</v>
      </c>
      <c r="F149">
        <v>97</v>
      </c>
    </row>
    <row r="150" spans="1:6" x14ac:dyDescent="0.25">
      <c r="A150">
        <v>149</v>
      </c>
      <c r="B150" t="s">
        <v>815</v>
      </c>
      <c r="C150" t="s">
        <v>816</v>
      </c>
      <c r="D150">
        <v>32</v>
      </c>
      <c r="E150">
        <v>149</v>
      </c>
      <c r="F150">
        <v>1186</v>
      </c>
    </row>
    <row r="151" spans="1:6" x14ac:dyDescent="0.25">
      <c r="A151">
        <v>150</v>
      </c>
      <c r="B151" t="s">
        <v>808</v>
      </c>
      <c r="C151" t="s">
        <v>809</v>
      </c>
      <c r="D151">
        <v>49</v>
      </c>
      <c r="E151">
        <v>165</v>
      </c>
      <c r="F151">
        <v>859</v>
      </c>
    </row>
    <row r="152" spans="1:6" x14ac:dyDescent="0.25">
      <c r="A152">
        <v>151</v>
      </c>
      <c r="B152" t="s">
        <v>832</v>
      </c>
      <c r="C152" t="s">
        <v>833</v>
      </c>
      <c r="D152">
        <v>36</v>
      </c>
      <c r="E152">
        <v>161</v>
      </c>
      <c r="F152">
        <v>1129</v>
      </c>
    </row>
    <row r="153" spans="1:6" x14ac:dyDescent="0.25">
      <c r="A153">
        <v>152</v>
      </c>
      <c r="B153" t="s">
        <v>800</v>
      </c>
      <c r="C153" t="s">
        <v>801</v>
      </c>
      <c r="D153">
        <v>75</v>
      </c>
      <c r="E153">
        <v>167</v>
      </c>
      <c r="F153">
        <v>72</v>
      </c>
    </row>
    <row r="154" spans="1:6" x14ac:dyDescent="0.25">
      <c r="A154">
        <v>153</v>
      </c>
      <c r="B154" t="s">
        <v>775</v>
      </c>
      <c r="C154" t="s">
        <v>776</v>
      </c>
      <c r="D154">
        <v>52</v>
      </c>
      <c r="E154">
        <v>153</v>
      </c>
      <c r="F154">
        <v>1410</v>
      </c>
    </row>
    <row r="155" spans="1:6" x14ac:dyDescent="0.25">
      <c r="A155">
        <v>154</v>
      </c>
      <c r="B155" t="s">
        <v>817</v>
      </c>
      <c r="C155" t="s">
        <v>818</v>
      </c>
      <c r="D155">
        <v>27</v>
      </c>
      <c r="E155">
        <v>147</v>
      </c>
      <c r="F155">
        <v>258</v>
      </c>
    </row>
    <row r="156" spans="1:6" x14ac:dyDescent="0.25">
      <c r="A156">
        <v>155</v>
      </c>
      <c r="B156" t="s">
        <v>811</v>
      </c>
      <c r="C156" t="s">
        <v>812</v>
      </c>
      <c r="D156">
        <v>60</v>
      </c>
      <c r="E156">
        <v>151</v>
      </c>
      <c r="F156">
        <v>1326</v>
      </c>
    </row>
    <row r="157" spans="1:6" x14ac:dyDescent="0.25">
      <c r="A157">
        <v>156</v>
      </c>
      <c r="B157" t="s">
        <v>785</v>
      </c>
      <c r="C157" t="s">
        <v>786</v>
      </c>
      <c r="D157">
        <v>58</v>
      </c>
      <c r="E157">
        <v>152</v>
      </c>
      <c r="F157">
        <v>1159</v>
      </c>
    </row>
    <row r="158" spans="1:6" x14ac:dyDescent="0.25">
      <c r="A158">
        <v>157</v>
      </c>
      <c r="B158" t="s">
        <v>783</v>
      </c>
      <c r="C158" t="s">
        <v>784</v>
      </c>
      <c r="D158">
        <v>9</v>
      </c>
      <c r="E158">
        <v>137</v>
      </c>
      <c r="F158">
        <v>1401</v>
      </c>
    </row>
    <row r="159" spans="1:6" x14ac:dyDescent="0.25">
      <c r="A159">
        <v>158</v>
      </c>
      <c r="B159" t="s">
        <v>806</v>
      </c>
      <c r="C159" t="s">
        <v>807</v>
      </c>
      <c r="D159">
        <v>77</v>
      </c>
      <c r="E159">
        <v>175</v>
      </c>
      <c r="F159">
        <v>63</v>
      </c>
    </row>
    <row r="160" spans="1:6" x14ac:dyDescent="0.25">
      <c r="A160">
        <v>159</v>
      </c>
      <c r="B160" t="s">
        <v>759</v>
      </c>
      <c r="C160" t="s">
        <v>760</v>
      </c>
      <c r="D160">
        <v>4</v>
      </c>
      <c r="E160">
        <v>145</v>
      </c>
      <c r="F160">
        <v>1394</v>
      </c>
    </row>
    <row r="161" spans="1:6" x14ac:dyDescent="0.25">
      <c r="A161">
        <v>160</v>
      </c>
      <c r="B161" t="s">
        <v>821</v>
      </c>
      <c r="C161" t="s">
        <v>822</v>
      </c>
      <c r="D161">
        <v>89</v>
      </c>
      <c r="E161">
        <v>166</v>
      </c>
      <c r="F161">
        <v>994</v>
      </c>
    </row>
    <row r="162" spans="1:6" x14ac:dyDescent="0.25">
      <c r="A162">
        <v>161</v>
      </c>
      <c r="B162" t="s">
        <v>804</v>
      </c>
      <c r="C162" t="s">
        <v>805</v>
      </c>
      <c r="D162">
        <v>43</v>
      </c>
      <c r="E162">
        <v>172</v>
      </c>
      <c r="F162">
        <v>722</v>
      </c>
    </row>
    <row r="163" spans="1:6" x14ac:dyDescent="0.25">
      <c r="A163">
        <v>162</v>
      </c>
      <c r="B163" t="s">
        <v>777</v>
      </c>
      <c r="C163" t="s">
        <v>778</v>
      </c>
      <c r="D163">
        <v>100</v>
      </c>
      <c r="E163">
        <v>184</v>
      </c>
      <c r="F163">
        <v>180</v>
      </c>
    </row>
    <row r="164" spans="1:6" x14ac:dyDescent="0.25">
      <c r="A164">
        <v>163</v>
      </c>
      <c r="B164" t="s">
        <v>826</v>
      </c>
      <c r="C164" t="s">
        <v>827</v>
      </c>
      <c r="D164">
        <v>97</v>
      </c>
      <c r="E164">
        <v>156</v>
      </c>
      <c r="F164">
        <v>450</v>
      </c>
    </row>
    <row r="165" spans="1:6" x14ac:dyDescent="0.25">
      <c r="A165">
        <v>164</v>
      </c>
      <c r="B165" t="s">
        <v>802</v>
      </c>
      <c r="C165" t="s">
        <v>803</v>
      </c>
      <c r="D165">
        <v>25</v>
      </c>
      <c r="E165">
        <v>169</v>
      </c>
      <c r="F165">
        <v>708</v>
      </c>
    </row>
    <row r="166" spans="1:6" x14ac:dyDescent="0.25">
      <c r="A166">
        <v>165</v>
      </c>
      <c r="B166" t="s">
        <v>840</v>
      </c>
      <c r="C166" t="s">
        <v>841</v>
      </c>
      <c r="D166">
        <v>18</v>
      </c>
      <c r="E166">
        <v>168</v>
      </c>
      <c r="F166">
        <v>1298</v>
      </c>
    </row>
    <row r="167" spans="1:6" x14ac:dyDescent="0.25">
      <c r="A167">
        <v>166</v>
      </c>
      <c r="B167" t="s">
        <v>850</v>
      </c>
      <c r="C167" t="s">
        <v>851</v>
      </c>
      <c r="D167">
        <v>77</v>
      </c>
      <c r="E167">
        <v>158</v>
      </c>
      <c r="F167">
        <v>1378</v>
      </c>
    </row>
    <row r="168" spans="1:6" x14ac:dyDescent="0.25">
      <c r="A168">
        <v>167</v>
      </c>
      <c r="B168" t="s">
        <v>823</v>
      </c>
      <c r="C168" t="s">
        <v>419</v>
      </c>
      <c r="D168">
        <v>54</v>
      </c>
      <c r="E168">
        <v>160</v>
      </c>
      <c r="F168">
        <v>796</v>
      </c>
    </row>
    <row r="169" spans="1:6" x14ac:dyDescent="0.25">
      <c r="A169">
        <v>168</v>
      </c>
      <c r="B169" t="s">
        <v>796</v>
      </c>
      <c r="C169" t="s">
        <v>797</v>
      </c>
      <c r="D169">
        <v>96</v>
      </c>
      <c r="E169">
        <v>154</v>
      </c>
      <c r="F169">
        <v>1414</v>
      </c>
    </row>
    <row r="170" spans="1:6" x14ac:dyDescent="0.25">
      <c r="A170">
        <v>169</v>
      </c>
      <c r="B170" t="s">
        <v>4212</v>
      </c>
      <c r="C170" t="s">
        <v>4213</v>
      </c>
      <c r="D170">
        <v>69</v>
      </c>
      <c r="E170">
        <v>171</v>
      </c>
      <c r="F170">
        <v>431</v>
      </c>
    </row>
    <row r="171" spans="1:6" x14ac:dyDescent="0.25">
      <c r="A171">
        <v>170</v>
      </c>
      <c r="B171" t="s">
        <v>1083</v>
      </c>
      <c r="C171" t="s">
        <v>1063</v>
      </c>
      <c r="D171">
        <v>58</v>
      </c>
      <c r="E171">
        <v>163</v>
      </c>
      <c r="F171">
        <v>81</v>
      </c>
    </row>
    <row r="172" spans="1:6" x14ac:dyDescent="0.25">
      <c r="A172">
        <v>171</v>
      </c>
      <c r="B172" t="s">
        <v>791</v>
      </c>
      <c r="C172" t="s">
        <v>792</v>
      </c>
      <c r="D172">
        <v>60</v>
      </c>
      <c r="E172">
        <v>162</v>
      </c>
      <c r="F172">
        <v>139</v>
      </c>
    </row>
    <row r="173" spans="1:6" x14ac:dyDescent="0.25">
      <c r="A173">
        <v>172</v>
      </c>
      <c r="B173" t="s">
        <v>866</v>
      </c>
      <c r="C173" t="s">
        <v>867</v>
      </c>
      <c r="D173">
        <v>22</v>
      </c>
      <c r="E173">
        <v>159</v>
      </c>
      <c r="F173">
        <v>942</v>
      </c>
    </row>
    <row r="174" spans="1:6" x14ac:dyDescent="0.25">
      <c r="A174">
        <v>173</v>
      </c>
      <c r="B174" t="s">
        <v>838</v>
      </c>
      <c r="C174" t="s">
        <v>839</v>
      </c>
      <c r="D174">
        <v>54</v>
      </c>
      <c r="E174">
        <v>174</v>
      </c>
      <c r="F174">
        <v>1047</v>
      </c>
    </row>
    <row r="175" spans="1:6" x14ac:dyDescent="0.25">
      <c r="A175">
        <v>174</v>
      </c>
      <c r="B175" t="s">
        <v>828</v>
      </c>
      <c r="C175" t="s">
        <v>829</v>
      </c>
      <c r="D175">
        <v>11</v>
      </c>
      <c r="E175">
        <v>173</v>
      </c>
      <c r="F175">
        <v>1351</v>
      </c>
    </row>
    <row r="176" spans="1:6" x14ac:dyDescent="0.25">
      <c r="A176">
        <v>175</v>
      </c>
      <c r="B176" t="s">
        <v>857</v>
      </c>
      <c r="C176" t="s">
        <v>858</v>
      </c>
      <c r="D176">
        <v>41</v>
      </c>
      <c r="E176">
        <v>176</v>
      </c>
      <c r="F176">
        <v>1076</v>
      </c>
    </row>
    <row r="177" spans="1:6" x14ac:dyDescent="0.25">
      <c r="A177">
        <v>176</v>
      </c>
      <c r="B177" t="s">
        <v>2423</v>
      </c>
      <c r="C177" t="s">
        <v>2424</v>
      </c>
      <c r="D177">
        <v>115</v>
      </c>
      <c r="E177">
        <v>180</v>
      </c>
      <c r="F177">
        <v>297</v>
      </c>
    </row>
    <row r="178" spans="1:6" x14ac:dyDescent="0.25">
      <c r="A178">
        <v>177</v>
      </c>
      <c r="B178" t="s">
        <v>746</v>
      </c>
      <c r="C178" t="s">
        <v>332</v>
      </c>
      <c r="D178">
        <v>4</v>
      </c>
      <c r="E178">
        <v>157</v>
      </c>
      <c r="F178">
        <v>1415</v>
      </c>
    </row>
    <row r="179" spans="1:6" x14ac:dyDescent="0.25">
      <c r="A179">
        <v>178</v>
      </c>
      <c r="B179" t="s">
        <v>1084</v>
      </c>
      <c r="C179" t="s">
        <v>1059</v>
      </c>
      <c r="D179">
        <v>29</v>
      </c>
      <c r="E179">
        <v>170</v>
      </c>
      <c r="F179">
        <v>957</v>
      </c>
    </row>
    <row r="180" spans="1:6" x14ac:dyDescent="0.25">
      <c r="A180">
        <v>179</v>
      </c>
      <c r="B180" t="s">
        <v>844</v>
      </c>
      <c r="C180" t="s">
        <v>845</v>
      </c>
      <c r="D180">
        <v>71</v>
      </c>
      <c r="E180">
        <v>177</v>
      </c>
      <c r="F180">
        <v>426</v>
      </c>
    </row>
    <row r="181" spans="1:6" x14ac:dyDescent="0.25">
      <c r="A181">
        <v>180</v>
      </c>
      <c r="B181" t="s">
        <v>4507</v>
      </c>
      <c r="C181" t="s">
        <v>3612</v>
      </c>
      <c r="D181">
        <v>149</v>
      </c>
      <c r="E181">
        <v>179</v>
      </c>
      <c r="F181">
        <v>33</v>
      </c>
    </row>
    <row r="182" spans="1:6" x14ac:dyDescent="0.25">
      <c r="A182">
        <v>181</v>
      </c>
      <c r="B182" t="s">
        <v>830</v>
      </c>
      <c r="C182" t="s">
        <v>831</v>
      </c>
      <c r="D182">
        <v>133</v>
      </c>
      <c r="E182">
        <v>181</v>
      </c>
      <c r="F182">
        <v>795</v>
      </c>
    </row>
    <row r="183" spans="1:6" x14ac:dyDescent="0.25">
      <c r="A183">
        <v>182</v>
      </c>
      <c r="B183" t="s">
        <v>842</v>
      </c>
      <c r="C183" t="s">
        <v>843</v>
      </c>
      <c r="D183">
        <v>25</v>
      </c>
      <c r="E183">
        <v>182</v>
      </c>
      <c r="F183">
        <v>1276</v>
      </c>
    </row>
    <row r="184" spans="1:6" x14ac:dyDescent="0.25">
      <c r="A184">
        <v>183</v>
      </c>
      <c r="B184" t="s">
        <v>834</v>
      </c>
      <c r="C184" t="s">
        <v>835</v>
      </c>
      <c r="D184">
        <v>15</v>
      </c>
      <c r="E184">
        <v>187</v>
      </c>
      <c r="F184">
        <v>1334</v>
      </c>
    </row>
    <row r="185" spans="1:6" x14ac:dyDescent="0.25">
      <c r="A185">
        <v>184</v>
      </c>
      <c r="B185" t="s">
        <v>1085</v>
      </c>
      <c r="C185" t="s">
        <v>28</v>
      </c>
      <c r="D185">
        <v>143</v>
      </c>
      <c r="E185">
        <v>-1</v>
      </c>
      <c r="F185">
        <v>42</v>
      </c>
    </row>
    <row r="186" spans="1:6" x14ac:dyDescent="0.25">
      <c r="A186">
        <v>185</v>
      </c>
      <c r="B186" t="s">
        <v>862</v>
      </c>
      <c r="C186" t="s">
        <v>863</v>
      </c>
      <c r="D186">
        <v>22</v>
      </c>
      <c r="E186">
        <v>186</v>
      </c>
      <c r="F186">
        <v>1084</v>
      </c>
    </row>
    <row r="187" spans="1:6" x14ac:dyDescent="0.25">
      <c r="A187">
        <v>186</v>
      </c>
      <c r="B187" t="s">
        <v>813</v>
      </c>
      <c r="C187" t="s">
        <v>814</v>
      </c>
      <c r="D187">
        <v>42</v>
      </c>
      <c r="E187">
        <v>190</v>
      </c>
      <c r="F187">
        <v>1286</v>
      </c>
    </row>
    <row r="188" spans="1:6" x14ac:dyDescent="0.25">
      <c r="A188">
        <v>187</v>
      </c>
      <c r="B188" t="s">
        <v>860</v>
      </c>
      <c r="C188" t="s">
        <v>861</v>
      </c>
      <c r="D188">
        <v>57</v>
      </c>
      <c r="E188">
        <v>188</v>
      </c>
      <c r="F188">
        <v>930</v>
      </c>
    </row>
    <row r="189" spans="1:6" x14ac:dyDescent="0.25">
      <c r="A189">
        <v>188</v>
      </c>
      <c r="B189" t="s">
        <v>859</v>
      </c>
      <c r="C189" t="s">
        <v>495</v>
      </c>
      <c r="D189">
        <v>36</v>
      </c>
      <c r="E189">
        <v>185</v>
      </c>
      <c r="F189">
        <v>1288</v>
      </c>
    </row>
    <row r="190" spans="1:6" x14ac:dyDescent="0.25">
      <c r="A190">
        <v>189</v>
      </c>
      <c r="B190" t="s">
        <v>4313</v>
      </c>
      <c r="C190" t="s">
        <v>864</v>
      </c>
      <c r="D190">
        <v>45</v>
      </c>
      <c r="E190">
        <v>183</v>
      </c>
      <c r="F190">
        <v>255</v>
      </c>
    </row>
    <row r="191" spans="1:6" x14ac:dyDescent="0.25">
      <c r="A191">
        <v>190</v>
      </c>
      <c r="B191" t="s">
        <v>848</v>
      </c>
      <c r="C191" t="s">
        <v>849</v>
      </c>
      <c r="D191">
        <v>110</v>
      </c>
      <c r="E191">
        <v>178</v>
      </c>
      <c r="F191">
        <v>41</v>
      </c>
    </row>
    <row r="192" spans="1:6" x14ac:dyDescent="0.25">
      <c r="A192">
        <v>191</v>
      </c>
      <c r="B192" t="s">
        <v>4638</v>
      </c>
      <c r="C192" t="s">
        <v>4639</v>
      </c>
      <c r="D192">
        <v>185</v>
      </c>
      <c r="E192">
        <v>195</v>
      </c>
      <c r="F192">
        <v>15</v>
      </c>
    </row>
    <row r="193" spans="1:6" x14ac:dyDescent="0.25">
      <c r="A193">
        <v>192</v>
      </c>
      <c r="B193" t="s">
        <v>846</v>
      </c>
      <c r="C193" t="s">
        <v>847</v>
      </c>
      <c r="D193">
        <v>78</v>
      </c>
      <c r="E193">
        <v>191</v>
      </c>
      <c r="F193">
        <v>545</v>
      </c>
    </row>
    <row r="194" spans="1:6" x14ac:dyDescent="0.25">
      <c r="A194">
        <v>193</v>
      </c>
      <c r="B194" t="s">
        <v>4220</v>
      </c>
      <c r="C194" t="s">
        <v>3936</v>
      </c>
      <c r="D194">
        <v>9</v>
      </c>
      <c r="E194">
        <v>196</v>
      </c>
      <c r="F194">
        <v>1040</v>
      </c>
    </row>
    <row r="195" spans="1:6" x14ac:dyDescent="0.25">
      <c r="A195">
        <v>194</v>
      </c>
      <c r="B195" t="s">
        <v>4687</v>
      </c>
      <c r="C195" t="s">
        <v>4688</v>
      </c>
      <c r="D195">
        <v>167</v>
      </c>
      <c r="E195">
        <v>-1</v>
      </c>
      <c r="F195">
        <v>103</v>
      </c>
    </row>
    <row r="196" spans="1:6" x14ac:dyDescent="0.25">
      <c r="A196">
        <v>195</v>
      </c>
      <c r="B196" t="s">
        <v>868</v>
      </c>
      <c r="C196" t="s">
        <v>869</v>
      </c>
      <c r="D196">
        <v>72</v>
      </c>
      <c r="E196">
        <v>194</v>
      </c>
      <c r="F196">
        <v>306</v>
      </c>
    </row>
    <row r="197" spans="1:6" x14ac:dyDescent="0.25">
      <c r="A197">
        <v>196</v>
      </c>
      <c r="B197" t="s">
        <v>4508</v>
      </c>
      <c r="C197" t="s">
        <v>4509</v>
      </c>
      <c r="D197">
        <v>191</v>
      </c>
      <c r="E197">
        <v>199</v>
      </c>
      <c r="F197">
        <v>6</v>
      </c>
    </row>
    <row r="198" spans="1:6" x14ac:dyDescent="0.25">
      <c r="A198">
        <v>197</v>
      </c>
      <c r="B198" t="s">
        <v>4689</v>
      </c>
      <c r="C198" t="s">
        <v>402</v>
      </c>
      <c r="D198">
        <v>176</v>
      </c>
      <c r="E198">
        <v>-1</v>
      </c>
      <c r="F198">
        <v>7</v>
      </c>
    </row>
    <row r="199" spans="1:6" x14ac:dyDescent="0.25">
      <c r="A199">
        <v>198</v>
      </c>
      <c r="B199" t="s">
        <v>854</v>
      </c>
      <c r="C199" t="s">
        <v>855</v>
      </c>
      <c r="D199">
        <v>175</v>
      </c>
      <c r="E199">
        <v>193</v>
      </c>
      <c r="F199">
        <v>34</v>
      </c>
    </row>
    <row r="200" spans="1:6" x14ac:dyDescent="0.25">
      <c r="A200">
        <v>199</v>
      </c>
      <c r="B200" t="s">
        <v>852</v>
      </c>
      <c r="C200" t="s">
        <v>853</v>
      </c>
      <c r="D200">
        <v>109</v>
      </c>
      <c r="E200">
        <v>-1</v>
      </c>
      <c r="F200">
        <v>120</v>
      </c>
    </row>
    <row r="201" spans="1:6" x14ac:dyDescent="0.25">
      <c r="A201">
        <v>200</v>
      </c>
      <c r="B201" t="s">
        <v>1812</v>
      </c>
      <c r="C201" t="s">
        <v>1813</v>
      </c>
      <c r="D201">
        <v>132</v>
      </c>
      <c r="E201">
        <v>197</v>
      </c>
      <c r="F201">
        <v>52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5ECE8-F33C-48A8-9AAC-44C38F53ED9E}">
  <sheetPr codeName="Planilha5"/>
  <dimension ref="A1:I101"/>
  <sheetViews>
    <sheetView topLeftCell="D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70.5703125" bestFit="1" customWidth="1"/>
    <col min="4" max="4" width="56" bestFit="1" customWidth="1"/>
    <col min="5" max="5" width="31.5703125" bestFit="1" customWidth="1"/>
    <col min="6" max="6" width="12.5703125" bestFit="1" customWidth="1"/>
    <col min="7" max="7" width="16" bestFit="1" customWidth="1"/>
    <col min="8" max="8" width="16.140625" bestFit="1" customWidth="1"/>
    <col min="9" max="9" width="11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1108</v>
      </c>
    </row>
    <row r="2" spans="1:9" x14ac:dyDescent="0.25">
      <c r="A2">
        <v>1</v>
      </c>
      <c r="B2" t="s">
        <v>1852</v>
      </c>
      <c r="C2" t="s">
        <v>1853</v>
      </c>
      <c r="D2" t="s">
        <v>1854</v>
      </c>
      <c r="E2" t="s">
        <v>1855</v>
      </c>
      <c r="F2">
        <v>1</v>
      </c>
      <c r="G2">
        <v>1</v>
      </c>
      <c r="H2">
        <v>11</v>
      </c>
    </row>
    <row r="3" spans="1:9" x14ac:dyDescent="0.25">
      <c r="A3">
        <v>2</v>
      </c>
      <c r="B3" t="s">
        <v>318</v>
      </c>
      <c r="C3" t="s">
        <v>319</v>
      </c>
      <c r="D3" t="s">
        <v>320</v>
      </c>
      <c r="E3" t="s">
        <v>321</v>
      </c>
      <c r="F3">
        <v>1</v>
      </c>
      <c r="G3">
        <v>2</v>
      </c>
      <c r="H3">
        <v>31</v>
      </c>
    </row>
    <row r="4" spans="1:9" x14ac:dyDescent="0.25">
      <c r="A4">
        <v>3</v>
      </c>
      <c r="B4" t="s">
        <v>888</v>
      </c>
      <c r="C4" t="s">
        <v>889</v>
      </c>
      <c r="D4" t="s">
        <v>890</v>
      </c>
      <c r="E4" t="s">
        <v>891</v>
      </c>
      <c r="F4">
        <v>3</v>
      </c>
      <c r="G4">
        <v>4</v>
      </c>
      <c r="H4">
        <v>38</v>
      </c>
    </row>
    <row r="5" spans="1:9" x14ac:dyDescent="0.25">
      <c r="A5">
        <v>4</v>
      </c>
      <c r="B5" t="s">
        <v>876</v>
      </c>
      <c r="C5" t="s">
        <v>877</v>
      </c>
      <c r="D5" t="s">
        <v>878</v>
      </c>
      <c r="E5" t="s">
        <v>879</v>
      </c>
      <c r="F5">
        <v>2</v>
      </c>
      <c r="G5">
        <v>3</v>
      </c>
      <c r="H5">
        <v>24</v>
      </c>
    </row>
    <row r="6" spans="1:9" x14ac:dyDescent="0.25">
      <c r="A6">
        <v>5</v>
      </c>
      <c r="B6" t="s">
        <v>880</v>
      </c>
      <c r="C6" t="s">
        <v>881</v>
      </c>
      <c r="D6" t="s">
        <v>882</v>
      </c>
      <c r="E6" t="s">
        <v>883</v>
      </c>
      <c r="F6">
        <v>2</v>
      </c>
      <c r="G6">
        <v>6</v>
      </c>
      <c r="H6">
        <v>19</v>
      </c>
    </row>
    <row r="7" spans="1:9" x14ac:dyDescent="0.25">
      <c r="A7">
        <v>6</v>
      </c>
      <c r="B7" t="s">
        <v>896</v>
      </c>
      <c r="C7" t="s">
        <v>897</v>
      </c>
      <c r="D7" t="s">
        <v>898</v>
      </c>
      <c r="E7" t="s">
        <v>899</v>
      </c>
      <c r="F7">
        <v>5</v>
      </c>
      <c r="G7">
        <v>5</v>
      </c>
      <c r="H7">
        <v>22</v>
      </c>
    </row>
    <row r="8" spans="1:9" x14ac:dyDescent="0.25">
      <c r="A8">
        <v>7</v>
      </c>
      <c r="B8" t="s">
        <v>92</v>
      </c>
      <c r="C8" t="s">
        <v>93</v>
      </c>
      <c r="D8" t="s">
        <v>94</v>
      </c>
      <c r="E8" t="s">
        <v>24</v>
      </c>
      <c r="F8">
        <v>6</v>
      </c>
      <c r="G8">
        <v>7</v>
      </c>
      <c r="H8">
        <v>3</v>
      </c>
    </row>
    <row r="9" spans="1:9" x14ac:dyDescent="0.25">
      <c r="A9">
        <v>8</v>
      </c>
      <c r="B9" t="s">
        <v>884</v>
      </c>
      <c r="C9" t="s">
        <v>885</v>
      </c>
      <c r="D9" t="s">
        <v>886</v>
      </c>
      <c r="E9" t="s">
        <v>887</v>
      </c>
      <c r="F9">
        <v>5</v>
      </c>
      <c r="G9">
        <v>8</v>
      </c>
      <c r="H9">
        <v>27</v>
      </c>
    </row>
    <row r="10" spans="1:9" x14ac:dyDescent="0.25">
      <c r="A10">
        <v>9</v>
      </c>
      <c r="B10" t="s">
        <v>907</v>
      </c>
      <c r="C10" t="s">
        <v>908</v>
      </c>
      <c r="D10" t="s">
        <v>909</v>
      </c>
      <c r="E10" t="s">
        <v>910</v>
      </c>
      <c r="F10">
        <v>3</v>
      </c>
      <c r="G10">
        <v>10</v>
      </c>
      <c r="H10">
        <v>31</v>
      </c>
    </row>
    <row r="11" spans="1:9" x14ac:dyDescent="0.25">
      <c r="A11">
        <v>10</v>
      </c>
      <c r="B11" t="s">
        <v>965</v>
      </c>
      <c r="C11" t="s">
        <v>966</v>
      </c>
      <c r="D11" t="s">
        <v>967</v>
      </c>
      <c r="E11" t="s">
        <v>968</v>
      </c>
      <c r="F11">
        <v>9</v>
      </c>
      <c r="G11">
        <v>11</v>
      </c>
      <c r="H11">
        <v>42</v>
      </c>
    </row>
    <row r="12" spans="1:9" x14ac:dyDescent="0.25">
      <c r="A12">
        <v>11</v>
      </c>
      <c r="B12" t="s">
        <v>1006</v>
      </c>
      <c r="C12" t="s">
        <v>1007</v>
      </c>
      <c r="D12" t="s">
        <v>1008</v>
      </c>
      <c r="E12" t="s">
        <v>1009</v>
      </c>
      <c r="F12">
        <v>11</v>
      </c>
      <c r="G12">
        <v>13</v>
      </c>
      <c r="H12">
        <v>20</v>
      </c>
    </row>
    <row r="13" spans="1:9" x14ac:dyDescent="0.25">
      <c r="A13">
        <v>12</v>
      </c>
      <c r="B13" t="s">
        <v>3823</v>
      </c>
      <c r="C13" t="s">
        <v>3824</v>
      </c>
      <c r="D13" t="s">
        <v>3825</v>
      </c>
      <c r="E13" t="s">
        <v>67</v>
      </c>
      <c r="F13">
        <v>9</v>
      </c>
      <c r="G13">
        <v>9</v>
      </c>
      <c r="H13">
        <v>10</v>
      </c>
    </row>
    <row r="14" spans="1:9" x14ac:dyDescent="0.25">
      <c r="A14">
        <v>13</v>
      </c>
      <c r="B14" t="s">
        <v>926</v>
      </c>
      <c r="C14" t="s">
        <v>889</v>
      </c>
      <c r="D14" t="s">
        <v>927</v>
      </c>
      <c r="E14" t="s">
        <v>928</v>
      </c>
      <c r="F14">
        <v>13</v>
      </c>
      <c r="G14">
        <v>17</v>
      </c>
      <c r="H14">
        <v>43</v>
      </c>
    </row>
    <row r="15" spans="1:9" x14ac:dyDescent="0.25">
      <c r="A15">
        <v>14</v>
      </c>
      <c r="B15" t="s">
        <v>3703</v>
      </c>
      <c r="C15" t="s">
        <v>665</v>
      </c>
      <c r="D15" t="s">
        <v>3451</v>
      </c>
      <c r="E15" t="s">
        <v>12</v>
      </c>
      <c r="F15">
        <v>11</v>
      </c>
      <c r="G15">
        <v>12</v>
      </c>
      <c r="H15">
        <v>3</v>
      </c>
    </row>
    <row r="16" spans="1:9" x14ac:dyDescent="0.25">
      <c r="A16">
        <v>15</v>
      </c>
      <c r="B16" t="s">
        <v>3820</v>
      </c>
      <c r="C16" t="s">
        <v>3821</v>
      </c>
      <c r="D16" t="s">
        <v>3822</v>
      </c>
      <c r="E16" t="s">
        <v>919</v>
      </c>
      <c r="F16">
        <v>5</v>
      </c>
      <c r="G16">
        <v>14</v>
      </c>
      <c r="H16">
        <v>10</v>
      </c>
    </row>
    <row r="17" spans="1:8" x14ac:dyDescent="0.25">
      <c r="A17">
        <v>16</v>
      </c>
      <c r="B17" t="s">
        <v>3916</v>
      </c>
      <c r="C17" t="s">
        <v>3702</v>
      </c>
      <c r="D17" t="s">
        <v>3917</v>
      </c>
      <c r="E17" t="s">
        <v>3702</v>
      </c>
      <c r="F17">
        <v>16</v>
      </c>
      <c r="G17">
        <v>18</v>
      </c>
      <c r="H17">
        <v>3</v>
      </c>
    </row>
    <row r="18" spans="1:8" x14ac:dyDescent="0.25">
      <c r="A18">
        <v>17</v>
      </c>
      <c r="B18" t="s">
        <v>903</v>
      </c>
      <c r="C18" t="s">
        <v>904</v>
      </c>
      <c r="D18" t="s">
        <v>905</v>
      </c>
      <c r="E18" t="s">
        <v>906</v>
      </c>
      <c r="F18">
        <v>7</v>
      </c>
      <c r="G18">
        <v>15</v>
      </c>
      <c r="H18">
        <v>28</v>
      </c>
    </row>
    <row r="19" spans="1:8" x14ac:dyDescent="0.25">
      <c r="A19">
        <v>18</v>
      </c>
      <c r="B19" t="s">
        <v>872</v>
      </c>
      <c r="C19" t="s">
        <v>873</v>
      </c>
      <c r="D19" t="s">
        <v>874</v>
      </c>
      <c r="E19" t="s">
        <v>875</v>
      </c>
      <c r="F19">
        <v>1</v>
      </c>
      <c r="G19">
        <v>16</v>
      </c>
      <c r="H19">
        <v>17</v>
      </c>
    </row>
    <row r="20" spans="1:8" x14ac:dyDescent="0.25">
      <c r="A20">
        <v>19</v>
      </c>
      <c r="B20" t="s">
        <v>3918</v>
      </c>
      <c r="C20" t="s">
        <v>1870</v>
      </c>
      <c r="D20" t="s">
        <v>1871</v>
      </c>
      <c r="E20" t="s">
        <v>3854</v>
      </c>
      <c r="F20">
        <v>16</v>
      </c>
      <c r="G20">
        <v>19</v>
      </c>
      <c r="H20">
        <v>9</v>
      </c>
    </row>
    <row r="21" spans="1:8" x14ac:dyDescent="0.25">
      <c r="A21">
        <v>20</v>
      </c>
      <c r="B21" t="s">
        <v>4377</v>
      </c>
      <c r="C21" t="s">
        <v>4378</v>
      </c>
      <c r="D21" t="s">
        <v>4379</v>
      </c>
      <c r="E21" t="s">
        <v>4380</v>
      </c>
      <c r="F21">
        <v>12</v>
      </c>
      <c r="G21">
        <v>20</v>
      </c>
      <c r="H21">
        <v>6</v>
      </c>
    </row>
    <row r="22" spans="1:8" x14ac:dyDescent="0.25">
      <c r="A22">
        <v>21</v>
      </c>
      <c r="B22" t="s">
        <v>900</v>
      </c>
      <c r="C22" t="s">
        <v>901</v>
      </c>
      <c r="D22" t="s">
        <v>902</v>
      </c>
      <c r="E22" t="s">
        <v>883</v>
      </c>
      <c r="F22">
        <v>7</v>
      </c>
      <c r="G22">
        <v>21</v>
      </c>
      <c r="H22">
        <v>29</v>
      </c>
    </row>
    <row r="23" spans="1:8" x14ac:dyDescent="0.25">
      <c r="A23">
        <v>22</v>
      </c>
      <c r="B23" t="s">
        <v>272</v>
      </c>
      <c r="C23" t="s">
        <v>273</v>
      </c>
      <c r="D23" t="s">
        <v>274</v>
      </c>
      <c r="E23" t="s">
        <v>275</v>
      </c>
      <c r="F23">
        <v>4</v>
      </c>
      <c r="G23">
        <v>23</v>
      </c>
      <c r="H23">
        <v>59</v>
      </c>
    </row>
    <row r="24" spans="1:8" x14ac:dyDescent="0.25">
      <c r="A24">
        <v>23</v>
      </c>
      <c r="B24" t="s">
        <v>346</v>
      </c>
      <c r="C24" t="s">
        <v>347</v>
      </c>
      <c r="D24" t="s">
        <v>348</v>
      </c>
      <c r="E24" t="s">
        <v>349</v>
      </c>
      <c r="F24">
        <v>4</v>
      </c>
      <c r="G24">
        <v>24</v>
      </c>
      <c r="H24">
        <v>38</v>
      </c>
    </row>
    <row r="25" spans="1:8" x14ac:dyDescent="0.25">
      <c r="A25">
        <v>24</v>
      </c>
      <c r="B25" t="s">
        <v>3705</v>
      </c>
      <c r="C25" t="s">
        <v>3706</v>
      </c>
      <c r="D25" t="s">
        <v>3707</v>
      </c>
      <c r="E25" t="s">
        <v>3708</v>
      </c>
      <c r="F25">
        <v>11</v>
      </c>
      <c r="G25">
        <v>25</v>
      </c>
      <c r="H25">
        <v>12</v>
      </c>
    </row>
    <row r="26" spans="1:8" x14ac:dyDescent="0.25">
      <c r="A26">
        <v>25</v>
      </c>
      <c r="B26" t="s">
        <v>1319</v>
      </c>
      <c r="C26" t="s">
        <v>1320</v>
      </c>
      <c r="D26" t="s">
        <v>1321</v>
      </c>
      <c r="E26" t="s">
        <v>1322</v>
      </c>
      <c r="F26">
        <v>25</v>
      </c>
      <c r="G26">
        <v>29</v>
      </c>
      <c r="H26">
        <v>3</v>
      </c>
    </row>
    <row r="27" spans="1:8" x14ac:dyDescent="0.25">
      <c r="A27">
        <v>26</v>
      </c>
      <c r="B27" t="s">
        <v>4298</v>
      </c>
      <c r="C27" t="s">
        <v>496</v>
      </c>
      <c r="D27" t="s">
        <v>1132</v>
      </c>
      <c r="E27" t="s">
        <v>1133</v>
      </c>
      <c r="F27">
        <v>5</v>
      </c>
      <c r="G27">
        <v>30</v>
      </c>
      <c r="H27">
        <v>41</v>
      </c>
    </row>
    <row r="28" spans="1:8" x14ac:dyDescent="0.25">
      <c r="A28">
        <v>27</v>
      </c>
      <c r="B28" t="s">
        <v>933</v>
      </c>
      <c r="C28" t="s">
        <v>934</v>
      </c>
      <c r="D28" t="s">
        <v>935</v>
      </c>
      <c r="E28" t="s">
        <v>936</v>
      </c>
      <c r="F28">
        <v>23</v>
      </c>
      <c r="G28">
        <v>26</v>
      </c>
      <c r="H28">
        <v>29</v>
      </c>
    </row>
    <row r="29" spans="1:8" x14ac:dyDescent="0.25">
      <c r="A29">
        <v>28</v>
      </c>
      <c r="B29" t="s">
        <v>3826</v>
      </c>
      <c r="C29" t="s">
        <v>3827</v>
      </c>
      <c r="D29" t="s">
        <v>3828</v>
      </c>
      <c r="E29" t="s">
        <v>3829</v>
      </c>
      <c r="F29">
        <v>27</v>
      </c>
      <c r="G29">
        <v>27</v>
      </c>
      <c r="H29">
        <v>10</v>
      </c>
    </row>
    <row r="30" spans="1:8" x14ac:dyDescent="0.25">
      <c r="A30">
        <v>29</v>
      </c>
      <c r="B30" t="s">
        <v>3713</v>
      </c>
      <c r="C30" t="s">
        <v>3714</v>
      </c>
      <c r="D30" t="s">
        <v>3715</v>
      </c>
      <c r="E30" t="s">
        <v>3716</v>
      </c>
      <c r="F30">
        <v>28</v>
      </c>
      <c r="G30">
        <v>28</v>
      </c>
      <c r="H30">
        <v>13</v>
      </c>
    </row>
    <row r="31" spans="1:8" x14ac:dyDescent="0.25">
      <c r="A31">
        <v>30</v>
      </c>
      <c r="B31" t="s">
        <v>502</v>
      </c>
      <c r="C31" t="s">
        <v>503</v>
      </c>
      <c r="D31" t="s">
        <v>504</v>
      </c>
      <c r="E31" t="s">
        <v>505</v>
      </c>
      <c r="F31">
        <v>12</v>
      </c>
      <c r="G31">
        <v>33</v>
      </c>
      <c r="H31">
        <v>59</v>
      </c>
    </row>
    <row r="32" spans="1:8" x14ac:dyDescent="0.25">
      <c r="A32">
        <v>31</v>
      </c>
      <c r="B32" t="s">
        <v>920</v>
      </c>
      <c r="C32" t="s">
        <v>921</v>
      </c>
      <c r="D32" t="s">
        <v>922</v>
      </c>
      <c r="E32" t="s">
        <v>921</v>
      </c>
      <c r="F32">
        <v>15</v>
      </c>
      <c r="G32">
        <v>34</v>
      </c>
      <c r="H32">
        <v>24</v>
      </c>
    </row>
    <row r="33" spans="1:8" x14ac:dyDescent="0.25">
      <c r="A33">
        <v>32</v>
      </c>
      <c r="B33" t="s">
        <v>3699</v>
      </c>
      <c r="C33" t="s">
        <v>3700</v>
      </c>
      <c r="D33" t="s">
        <v>3701</v>
      </c>
      <c r="E33" t="s">
        <v>3702</v>
      </c>
      <c r="F33">
        <v>31</v>
      </c>
      <c r="G33">
        <v>32</v>
      </c>
      <c r="H33">
        <v>3</v>
      </c>
    </row>
    <row r="34" spans="1:8" x14ac:dyDescent="0.25">
      <c r="A34">
        <v>33</v>
      </c>
      <c r="B34" t="s">
        <v>911</v>
      </c>
      <c r="C34" t="s">
        <v>912</v>
      </c>
      <c r="D34" t="s">
        <v>913</v>
      </c>
      <c r="E34" t="s">
        <v>914</v>
      </c>
      <c r="F34">
        <v>11</v>
      </c>
      <c r="G34">
        <v>31</v>
      </c>
      <c r="H34">
        <v>17</v>
      </c>
    </row>
    <row r="35" spans="1:8" x14ac:dyDescent="0.25">
      <c r="A35">
        <v>34</v>
      </c>
      <c r="B35" t="s">
        <v>958</v>
      </c>
      <c r="C35" t="s">
        <v>959</v>
      </c>
      <c r="D35" t="s">
        <v>960</v>
      </c>
      <c r="E35" t="s">
        <v>961</v>
      </c>
      <c r="F35">
        <v>21</v>
      </c>
      <c r="G35">
        <v>36</v>
      </c>
      <c r="H35">
        <v>24</v>
      </c>
    </row>
    <row r="36" spans="1:8" x14ac:dyDescent="0.25">
      <c r="A36">
        <v>35</v>
      </c>
      <c r="B36" t="s">
        <v>4559</v>
      </c>
      <c r="C36" t="s">
        <v>4560</v>
      </c>
      <c r="D36" t="s">
        <v>4561</v>
      </c>
      <c r="E36" t="s">
        <v>910</v>
      </c>
      <c r="F36">
        <v>33</v>
      </c>
      <c r="G36">
        <v>35</v>
      </c>
      <c r="H36">
        <v>3</v>
      </c>
    </row>
    <row r="37" spans="1:8" x14ac:dyDescent="0.25">
      <c r="A37">
        <v>36</v>
      </c>
      <c r="B37" t="s">
        <v>4381</v>
      </c>
      <c r="C37" t="s">
        <v>4382</v>
      </c>
      <c r="D37" t="s">
        <v>4383</v>
      </c>
      <c r="E37" t="s">
        <v>4384</v>
      </c>
      <c r="F37">
        <v>36</v>
      </c>
      <c r="G37">
        <v>39</v>
      </c>
      <c r="H37">
        <v>5</v>
      </c>
    </row>
    <row r="38" spans="1:8" x14ac:dyDescent="0.25">
      <c r="A38">
        <v>37</v>
      </c>
      <c r="B38" t="s">
        <v>3709</v>
      </c>
      <c r="C38" t="s">
        <v>3710</v>
      </c>
      <c r="D38" t="s">
        <v>3711</v>
      </c>
      <c r="E38" t="s">
        <v>3712</v>
      </c>
      <c r="F38">
        <v>21</v>
      </c>
      <c r="G38">
        <v>40</v>
      </c>
      <c r="H38">
        <v>28</v>
      </c>
    </row>
    <row r="39" spans="1:8" x14ac:dyDescent="0.25">
      <c r="A39">
        <v>38</v>
      </c>
      <c r="B39" t="s">
        <v>404</v>
      </c>
      <c r="C39" t="s">
        <v>405</v>
      </c>
      <c r="D39" t="s">
        <v>406</v>
      </c>
      <c r="E39" t="s">
        <v>407</v>
      </c>
      <c r="F39">
        <v>1</v>
      </c>
      <c r="G39">
        <v>37</v>
      </c>
      <c r="H39">
        <v>48</v>
      </c>
    </row>
    <row r="40" spans="1:8" x14ac:dyDescent="0.25">
      <c r="A40">
        <v>39</v>
      </c>
      <c r="B40" t="s">
        <v>995</v>
      </c>
      <c r="C40" t="s">
        <v>996</v>
      </c>
      <c r="D40" t="s">
        <v>997</v>
      </c>
      <c r="E40" t="s">
        <v>998</v>
      </c>
      <c r="F40">
        <v>29</v>
      </c>
      <c r="G40">
        <v>38</v>
      </c>
      <c r="H40">
        <v>24</v>
      </c>
    </row>
    <row r="41" spans="1:8" x14ac:dyDescent="0.25">
      <c r="A41">
        <v>40</v>
      </c>
      <c r="B41" t="s">
        <v>4565</v>
      </c>
      <c r="C41" t="s">
        <v>1802</v>
      </c>
      <c r="D41" t="s">
        <v>4566</v>
      </c>
      <c r="E41" t="s">
        <v>2334</v>
      </c>
      <c r="F41">
        <v>40</v>
      </c>
      <c r="G41">
        <v>44</v>
      </c>
      <c r="H41">
        <v>21</v>
      </c>
    </row>
    <row r="42" spans="1:8" x14ac:dyDescent="0.25">
      <c r="A42">
        <v>41</v>
      </c>
      <c r="B42" t="s">
        <v>929</v>
      </c>
      <c r="C42" t="s">
        <v>930</v>
      </c>
      <c r="D42" t="s">
        <v>931</v>
      </c>
      <c r="E42" t="s">
        <v>932</v>
      </c>
      <c r="F42">
        <v>18</v>
      </c>
      <c r="G42">
        <v>41</v>
      </c>
      <c r="H42">
        <v>45</v>
      </c>
    </row>
    <row r="43" spans="1:8" x14ac:dyDescent="0.25">
      <c r="A43">
        <v>42</v>
      </c>
      <c r="B43" t="s">
        <v>4690</v>
      </c>
      <c r="C43" t="s">
        <v>4691</v>
      </c>
      <c r="D43" t="s">
        <v>4692</v>
      </c>
      <c r="E43" t="s">
        <v>4693</v>
      </c>
      <c r="F43">
        <v>42</v>
      </c>
      <c r="G43">
        <v>-1</v>
      </c>
      <c r="H43">
        <v>1</v>
      </c>
    </row>
    <row r="44" spans="1:8" x14ac:dyDescent="0.25">
      <c r="A44">
        <v>43</v>
      </c>
      <c r="B44" t="s">
        <v>915</v>
      </c>
      <c r="C44" t="s">
        <v>916</v>
      </c>
      <c r="D44" t="s">
        <v>917</v>
      </c>
      <c r="E44" t="s">
        <v>918</v>
      </c>
      <c r="F44">
        <v>3</v>
      </c>
      <c r="G44">
        <v>43</v>
      </c>
      <c r="H44">
        <v>38</v>
      </c>
    </row>
    <row r="45" spans="1:8" x14ac:dyDescent="0.25">
      <c r="A45">
        <v>44</v>
      </c>
      <c r="B45" t="s">
        <v>4385</v>
      </c>
      <c r="C45" t="s">
        <v>4386</v>
      </c>
      <c r="D45" t="s">
        <v>4387</v>
      </c>
      <c r="E45" t="s">
        <v>4388</v>
      </c>
      <c r="F45">
        <v>44</v>
      </c>
      <c r="G45">
        <v>60</v>
      </c>
      <c r="H45">
        <v>6</v>
      </c>
    </row>
    <row r="46" spans="1:8" x14ac:dyDescent="0.25">
      <c r="A46">
        <v>45</v>
      </c>
      <c r="B46" t="s">
        <v>999</v>
      </c>
      <c r="C46" t="s">
        <v>1000</v>
      </c>
      <c r="D46" t="s">
        <v>1001</v>
      </c>
      <c r="E46" t="s">
        <v>1002</v>
      </c>
      <c r="F46">
        <v>45</v>
      </c>
      <c r="G46">
        <v>47</v>
      </c>
      <c r="H46">
        <v>22</v>
      </c>
    </row>
    <row r="47" spans="1:8" x14ac:dyDescent="0.25">
      <c r="A47">
        <v>46</v>
      </c>
      <c r="B47" t="s">
        <v>892</v>
      </c>
      <c r="C47" t="s">
        <v>893</v>
      </c>
      <c r="D47" t="s">
        <v>894</v>
      </c>
      <c r="E47" t="s">
        <v>895</v>
      </c>
      <c r="F47">
        <v>8</v>
      </c>
      <c r="G47">
        <v>42</v>
      </c>
      <c r="H47">
        <v>24</v>
      </c>
    </row>
    <row r="48" spans="1:8" x14ac:dyDescent="0.25">
      <c r="A48">
        <v>47</v>
      </c>
      <c r="B48" t="s">
        <v>1052</v>
      </c>
      <c r="C48" t="s">
        <v>110</v>
      </c>
      <c r="D48" t="s">
        <v>111</v>
      </c>
      <c r="E48" t="s">
        <v>12</v>
      </c>
      <c r="F48">
        <v>18</v>
      </c>
      <c r="G48">
        <v>46</v>
      </c>
      <c r="H48">
        <v>38</v>
      </c>
    </row>
    <row r="49" spans="1:8" x14ac:dyDescent="0.25">
      <c r="A49">
        <v>48</v>
      </c>
      <c r="B49" t="s">
        <v>1342</v>
      </c>
      <c r="C49" t="s">
        <v>573</v>
      </c>
      <c r="D49" t="s">
        <v>1343</v>
      </c>
      <c r="E49" t="s">
        <v>573</v>
      </c>
      <c r="F49">
        <v>1</v>
      </c>
      <c r="G49">
        <v>45</v>
      </c>
      <c r="H49">
        <v>92</v>
      </c>
    </row>
    <row r="50" spans="1:8" x14ac:dyDescent="0.25">
      <c r="A50">
        <v>49</v>
      </c>
      <c r="B50" t="s">
        <v>460</v>
      </c>
      <c r="C50" t="s">
        <v>461</v>
      </c>
      <c r="D50" t="s">
        <v>462</v>
      </c>
      <c r="E50" t="s">
        <v>98</v>
      </c>
      <c r="F50">
        <v>29</v>
      </c>
      <c r="G50">
        <v>52</v>
      </c>
      <c r="H50">
        <v>29</v>
      </c>
    </row>
    <row r="51" spans="1:8" x14ac:dyDescent="0.25">
      <c r="A51">
        <v>50</v>
      </c>
      <c r="B51" t="s">
        <v>989</v>
      </c>
      <c r="C51" t="s">
        <v>974</v>
      </c>
      <c r="D51" t="s">
        <v>990</v>
      </c>
      <c r="E51" t="s">
        <v>976</v>
      </c>
      <c r="F51">
        <v>48</v>
      </c>
      <c r="G51">
        <v>56</v>
      </c>
      <c r="H51">
        <v>183</v>
      </c>
    </row>
    <row r="52" spans="1:8" x14ac:dyDescent="0.25">
      <c r="A52">
        <v>51</v>
      </c>
      <c r="B52" t="s">
        <v>937</v>
      </c>
      <c r="C52" t="s">
        <v>938</v>
      </c>
      <c r="D52" t="s">
        <v>939</v>
      </c>
      <c r="E52" t="s">
        <v>938</v>
      </c>
      <c r="F52">
        <v>7</v>
      </c>
      <c r="G52">
        <v>49</v>
      </c>
      <c r="H52">
        <v>66</v>
      </c>
    </row>
    <row r="53" spans="1:8" x14ac:dyDescent="0.25">
      <c r="A53">
        <v>52</v>
      </c>
      <c r="B53" t="s">
        <v>3919</v>
      </c>
      <c r="C53" t="s">
        <v>3920</v>
      </c>
      <c r="D53" t="s">
        <v>3921</v>
      </c>
      <c r="E53" t="s">
        <v>3922</v>
      </c>
      <c r="F53">
        <v>52</v>
      </c>
      <c r="G53">
        <v>57</v>
      </c>
      <c r="H53">
        <v>9</v>
      </c>
    </row>
    <row r="54" spans="1:8" x14ac:dyDescent="0.25">
      <c r="A54">
        <v>53</v>
      </c>
      <c r="B54" t="s">
        <v>923</v>
      </c>
      <c r="C54" t="s">
        <v>924</v>
      </c>
      <c r="D54" t="s">
        <v>925</v>
      </c>
      <c r="E54" t="s">
        <v>671</v>
      </c>
      <c r="F54">
        <v>12</v>
      </c>
      <c r="G54">
        <v>53</v>
      </c>
      <c r="H54">
        <v>24</v>
      </c>
    </row>
    <row r="55" spans="1:8" x14ac:dyDescent="0.25">
      <c r="A55">
        <v>54</v>
      </c>
      <c r="B55" t="s">
        <v>946</v>
      </c>
      <c r="C55" t="s">
        <v>947</v>
      </c>
      <c r="D55" t="s">
        <v>948</v>
      </c>
      <c r="E55" t="s">
        <v>883</v>
      </c>
      <c r="F55">
        <v>22</v>
      </c>
      <c r="G55">
        <v>48</v>
      </c>
      <c r="H55">
        <v>26</v>
      </c>
    </row>
    <row r="56" spans="1:8" x14ac:dyDescent="0.25">
      <c r="A56">
        <v>55</v>
      </c>
      <c r="B56" t="s">
        <v>139</v>
      </c>
      <c r="C56" t="s">
        <v>140</v>
      </c>
      <c r="D56" t="s">
        <v>141</v>
      </c>
      <c r="E56" t="s">
        <v>142</v>
      </c>
      <c r="F56">
        <v>31</v>
      </c>
      <c r="G56">
        <v>50</v>
      </c>
      <c r="H56">
        <v>43</v>
      </c>
    </row>
    <row r="57" spans="1:8" x14ac:dyDescent="0.25">
      <c r="A57">
        <v>56</v>
      </c>
      <c r="B57" t="s">
        <v>4281</v>
      </c>
      <c r="C57" t="s">
        <v>4282</v>
      </c>
      <c r="D57" t="s">
        <v>4283</v>
      </c>
      <c r="E57" t="s">
        <v>4284</v>
      </c>
      <c r="F57">
        <v>56</v>
      </c>
      <c r="G57">
        <v>61</v>
      </c>
      <c r="H57">
        <v>7</v>
      </c>
    </row>
    <row r="58" spans="1:8" x14ac:dyDescent="0.25">
      <c r="A58">
        <v>57</v>
      </c>
      <c r="B58" t="s">
        <v>3939</v>
      </c>
      <c r="C58" t="s">
        <v>3940</v>
      </c>
      <c r="D58" t="s">
        <v>3941</v>
      </c>
      <c r="E58" t="s">
        <v>3942</v>
      </c>
      <c r="F58">
        <v>52</v>
      </c>
      <c r="G58">
        <v>55</v>
      </c>
      <c r="H58">
        <v>8</v>
      </c>
    </row>
    <row r="59" spans="1:8" x14ac:dyDescent="0.25">
      <c r="A59">
        <v>58</v>
      </c>
      <c r="B59" t="s">
        <v>1287</v>
      </c>
      <c r="C59" t="s">
        <v>1288</v>
      </c>
      <c r="D59" t="s">
        <v>1289</v>
      </c>
      <c r="E59" t="s">
        <v>341</v>
      </c>
      <c r="F59">
        <v>40</v>
      </c>
      <c r="G59">
        <v>66</v>
      </c>
      <c r="H59">
        <v>19</v>
      </c>
    </row>
    <row r="60" spans="1:8" x14ac:dyDescent="0.25">
      <c r="A60">
        <v>59</v>
      </c>
      <c r="B60" t="s">
        <v>949</v>
      </c>
      <c r="C60" t="s">
        <v>950</v>
      </c>
      <c r="D60" t="s">
        <v>951</v>
      </c>
      <c r="E60" t="s">
        <v>952</v>
      </c>
      <c r="F60">
        <v>27</v>
      </c>
      <c r="G60">
        <v>51</v>
      </c>
      <c r="H60">
        <v>19</v>
      </c>
    </row>
    <row r="61" spans="1:8" x14ac:dyDescent="0.25">
      <c r="A61">
        <v>60</v>
      </c>
      <c r="B61" t="s">
        <v>969</v>
      </c>
      <c r="C61" t="s">
        <v>970</v>
      </c>
      <c r="D61" t="s">
        <v>971</v>
      </c>
      <c r="E61" t="s">
        <v>972</v>
      </c>
      <c r="F61">
        <v>37</v>
      </c>
      <c r="G61">
        <v>69</v>
      </c>
      <c r="H61">
        <v>24</v>
      </c>
    </row>
    <row r="62" spans="1:8" x14ac:dyDescent="0.25">
      <c r="A62">
        <v>61</v>
      </c>
      <c r="B62" t="s">
        <v>1188</v>
      </c>
      <c r="C62" t="s">
        <v>266</v>
      </c>
      <c r="D62" t="s">
        <v>1020</v>
      </c>
      <c r="E62" t="s">
        <v>268</v>
      </c>
      <c r="F62">
        <v>41</v>
      </c>
      <c r="G62">
        <v>63</v>
      </c>
      <c r="H62">
        <v>24</v>
      </c>
    </row>
    <row r="63" spans="1:8" x14ac:dyDescent="0.25">
      <c r="A63">
        <v>62</v>
      </c>
      <c r="B63" t="s">
        <v>943</v>
      </c>
      <c r="C63" t="s">
        <v>944</v>
      </c>
      <c r="D63" t="s">
        <v>945</v>
      </c>
      <c r="E63" t="s">
        <v>376</v>
      </c>
      <c r="F63">
        <v>1</v>
      </c>
      <c r="G63">
        <v>54</v>
      </c>
      <c r="H63">
        <v>48</v>
      </c>
    </row>
    <row r="64" spans="1:8" x14ac:dyDescent="0.25">
      <c r="A64">
        <v>63</v>
      </c>
      <c r="B64" t="s">
        <v>954</v>
      </c>
      <c r="C64" t="s">
        <v>955</v>
      </c>
      <c r="D64" t="s">
        <v>956</v>
      </c>
      <c r="E64" t="s">
        <v>957</v>
      </c>
      <c r="F64">
        <v>35</v>
      </c>
      <c r="G64">
        <v>64</v>
      </c>
      <c r="H64">
        <v>32</v>
      </c>
    </row>
    <row r="65" spans="1:8" x14ac:dyDescent="0.25">
      <c r="A65">
        <v>64</v>
      </c>
      <c r="B65" t="s">
        <v>401</v>
      </c>
      <c r="C65" t="s">
        <v>402</v>
      </c>
      <c r="D65" t="s">
        <v>403</v>
      </c>
      <c r="E65" t="s">
        <v>402</v>
      </c>
      <c r="F65">
        <v>56</v>
      </c>
      <c r="G65">
        <v>65</v>
      </c>
      <c r="H65">
        <v>11</v>
      </c>
    </row>
    <row r="66" spans="1:8" x14ac:dyDescent="0.25">
      <c r="A66">
        <v>65</v>
      </c>
      <c r="B66" t="s">
        <v>9</v>
      </c>
      <c r="C66" t="s">
        <v>10</v>
      </c>
      <c r="D66" t="s">
        <v>11</v>
      </c>
      <c r="E66" t="s">
        <v>12</v>
      </c>
      <c r="F66">
        <v>3</v>
      </c>
      <c r="G66">
        <v>58</v>
      </c>
      <c r="H66">
        <v>108</v>
      </c>
    </row>
    <row r="67" spans="1:8" x14ac:dyDescent="0.25">
      <c r="A67">
        <v>66</v>
      </c>
      <c r="B67" t="s">
        <v>1021</v>
      </c>
      <c r="C67" t="s">
        <v>1022</v>
      </c>
      <c r="D67" t="s">
        <v>1023</v>
      </c>
      <c r="E67" t="s">
        <v>1024</v>
      </c>
      <c r="F67">
        <v>53</v>
      </c>
      <c r="G67">
        <v>59</v>
      </c>
      <c r="H67">
        <v>15</v>
      </c>
    </row>
    <row r="68" spans="1:8" x14ac:dyDescent="0.25">
      <c r="A68">
        <v>67</v>
      </c>
      <c r="B68" t="s">
        <v>1016</v>
      </c>
      <c r="C68" t="s">
        <v>1017</v>
      </c>
      <c r="D68" t="s">
        <v>1018</v>
      </c>
      <c r="E68" t="s">
        <v>1019</v>
      </c>
      <c r="F68">
        <v>46</v>
      </c>
      <c r="G68">
        <v>62</v>
      </c>
      <c r="H68">
        <v>16</v>
      </c>
    </row>
    <row r="69" spans="1:8" x14ac:dyDescent="0.25">
      <c r="A69">
        <v>68</v>
      </c>
      <c r="B69" t="s">
        <v>4510</v>
      </c>
      <c r="C69" t="s">
        <v>4511</v>
      </c>
      <c r="D69" t="s">
        <v>4512</v>
      </c>
      <c r="E69" t="s">
        <v>4513</v>
      </c>
      <c r="F69">
        <v>68</v>
      </c>
      <c r="G69">
        <v>71</v>
      </c>
      <c r="H69">
        <v>4</v>
      </c>
    </row>
    <row r="70" spans="1:8" x14ac:dyDescent="0.25">
      <c r="A70">
        <v>69</v>
      </c>
      <c r="B70" t="s">
        <v>4562</v>
      </c>
      <c r="C70" t="s">
        <v>4563</v>
      </c>
      <c r="D70" t="s">
        <v>4564</v>
      </c>
      <c r="E70" t="s">
        <v>2177</v>
      </c>
      <c r="F70">
        <v>60</v>
      </c>
      <c r="G70">
        <v>68</v>
      </c>
      <c r="H70">
        <v>3</v>
      </c>
    </row>
    <row r="71" spans="1:8" x14ac:dyDescent="0.25">
      <c r="A71">
        <v>70</v>
      </c>
      <c r="B71" t="s">
        <v>4567</v>
      </c>
      <c r="C71" t="s">
        <v>4568</v>
      </c>
      <c r="D71" t="s">
        <v>4569</v>
      </c>
      <c r="E71" t="s">
        <v>4570</v>
      </c>
      <c r="F71">
        <v>70</v>
      </c>
      <c r="G71">
        <v>70</v>
      </c>
      <c r="H71">
        <v>3</v>
      </c>
    </row>
    <row r="72" spans="1:8" x14ac:dyDescent="0.25">
      <c r="A72">
        <v>71</v>
      </c>
      <c r="B72" t="s">
        <v>940</v>
      </c>
      <c r="C72" t="s">
        <v>941</v>
      </c>
      <c r="D72" t="s">
        <v>942</v>
      </c>
      <c r="E72" t="s">
        <v>671</v>
      </c>
      <c r="F72">
        <v>15</v>
      </c>
      <c r="G72">
        <v>67</v>
      </c>
      <c r="H72">
        <v>24</v>
      </c>
    </row>
    <row r="73" spans="1:8" x14ac:dyDescent="0.25">
      <c r="A73">
        <v>72</v>
      </c>
      <c r="B73" t="s">
        <v>1025</v>
      </c>
      <c r="C73" t="s">
        <v>1026</v>
      </c>
      <c r="D73" t="s">
        <v>1027</v>
      </c>
      <c r="E73" t="s">
        <v>1028</v>
      </c>
      <c r="F73">
        <v>57</v>
      </c>
      <c r="G73">
        <v>72</v>
      </c>
      <c r="H73">
        <v>28</v>
      </c>
    </row>
    <row r="74" spans="1:8" x14ac:dyDescent="0.25">
      <c r="A74">
        <v>73</v>
      </c>
      <c r="B74" t="s">
        <v>1292</v>
      </c>
      <c r="C74" t="s">
        <v>503</v>
      </c>
      <c r="D74" t="s">
        <v>1293</v>
      </c>
      <c r="E74" t="s">
        <v>505</v>
      </c>
      <c r="F74">
        <v>3</v>
      </c>
      <c r="G74">
        <v>76</v>
      </c>
      <c r="H74">
        <v>72</v>
      </c>
    </row>
    <row r="75" spans="1:8" x14ac:dyDescent="0.25">
      <c r="A75">
        <v>74</v>
      </c>
      <c r="B75" t="s">
        <v>1040</v>
      </c>
      <c r="C75" t="s">
        <v>1041</v>
      </c>
      <c r="D75" t="s">
        <v>1042</v>
      </c>
      <c r="E75" t="s">
        <v>1043</v>
      </c>
      <c r="F75">
        <v>74</v>
      </c>
      <c r="G75">
        <v>77</v>
      </c>
      <c r="H75">
        <v>17</v>
      </c>
    </row>
    <row r="76" spans="1:8" x14ac:dyDescent="0.25">
      <c r="A76">
        <v>75</v>
      </c>
      <c r="B76" t="s">
        <v>4277</v>
      </c>
      <c r="C76" t="s">
        <v>4278</v>
      </c>
      <c r="D76" t="s">
        <v>4279</v>
      </c>
      <c r="E76" t="s">
        <v>4280</v>
      </c>
      <c r="F76">
        <v>73</v>
      </c>
      <c r="G76">
        <v>73</v>
      </c>
      <c r="H76">
        <v>7</v>
      </c>
    </row>
    <row r="77" spans="1:8" x14ac:dyDescent="0.25">
      <c r="A77">
        <v>76</v>
      </c>
      <c r="B77" t="s">
        <v>1029</v>
      </c>
      <c r="C77" t="s">
        <v>1030</v>
      </c>
      <c r="D77" t="s">
        <v>1031</v>
      </c>
      <c r="E77" t="s">
        <v>1032</v>
      </c>
      <c r="F77">
        <v>76</v>
      </c>
      <c r="G77">
        <v>87</v>
      </c>
      <c r="H77">
        <v>18</v>
      </c>
    </row>
    <row r="78" spans="1:8" x14ac:dyDescent="0.25">
      <c r="A78">
        <v>77</v>
      </c>
      <c r="B78" t="s">
        <v>977</v>
      </c>
      <c r="C78" t="s">
        <v>978</v>
      </c>
      <c r="D78" t="s">
        <v>979</v>
      </c>
      <c r="E78" t="s">
        <v>980</v>
      </c>
      <c r="F78">
        <v>41</v>
      </c>
      <c r="G78">
        <v>80</v>
      </c>
      <c r="H78">
        <v>23</v>
      </c>
    </row>
    <row r="79" spans="1:8" x14ac:dyDescent="0.25">
      <c r="A79">
        <v>78</v>
      </c>
      <c r="B79" t="s">
        <v>962</v>
      </c>
      <c r="C79" t="s">
        <v>963</v>
      </c>
      <c r="D79" t="s">
        <v>964</v>
      </c>
      <c r="E79" t="s">
        <v>963</v>
      </c>
      <c r="F79">
        <v>1</v>
      </c>
      <c r="G79">
        <v>74</v>
      </c>
      <c r="H79">
        <v>72</v>
      </c>
    </row>
    <row r="80" spans="1:8" x14ac:dyDescent="0.25">
      <c r="A80">
        <v>79</v>
      </c>
      <c r="B80" t="s">
        <v>991</v>
      </c>
      <c r="C80" t="s">
        <v>992</v>
      </c>
      <c r="D80" t="s">
        <v>993</v>
      </c>
      <c r="E80" t="s">
        <v>994</v>
      </c>
      <c r="F80">
        <v>50</v>
      </c>
      <c r="G80">
        <v>79</v>
      </c>
      <c r="H80">
        <v>31</v>
      </c>
    </row>
    <row r="81" spans="1:8" x14ac:dyDescent="0.25">
      <c r="A81">
        <v>80</v>
      </c>
      <c r="B81" t="s">
        <v>163</v>
      </c>
      <c r="C81" t="s">
        <v>164</v>
      </c>
      <c r="D81" t="s">
        <v>3914</v>
      </c>
      <c r="E81" t="s">
        <v>164</v>
      </c>
      <c r="F81">
        <v>19</v>
      </c>
      <c r="G81">
        <v>75</v>
      </c>
      <c r="H81">
        <v>177</v>
      </c>
    </row>
    <row r="82" spans="1:8" x14ac:dyDescent="0.25">
      <c r="A82">
        <v>81</v>
      </c>
      <c r="B82" t="s">
        <v>1055</v>
      </c>
      <c r="C82" t="s">
        <v>266</v>
      </c>
      <c r="D82" t="s">
        <v>267</v>
      </c>
      <c r="E82" t="s">
        <v>268</v>
      </c>
      <c r="F82">
        <v>18</v>
      </c>
      <c r="G82">
        <v>81</v>
      </c>
      <c r="H82">
        <v>180</v>
      </c>
    </row>
    <row r="83" spans="1:8" x14ac:dyDescent="0.25">
      <c r="A83">
        <v>82</v>
      </c>
      <c r="B83" t="s">
        <v>1568</v>
      </c>
      <c r="C83" t="s">
        <v>1544</v>
      </c>
      <c r="D83" t="s">
        <v>1569</v>
      </c>
      <c r="E83" t="s">
        <v>1570</v>
      </c>
      <c r="F83">
        <v>51</v>
      </c>
      <c r="G83">
        <v>84</v>
      </c>
      <c r="H83">
        <v>12</v>
      </c>
    </row>
    <row r="84" spans="1:8" x14ac:dyDescent="0.25">
      <c r="A84">
        <v>83</v>
      </c>
      <c r="B84" t="s">
        <v>4571</v>
      </c>
      <c r="C84" t="s">
        <v>4572</v>
      </c>
      <c r="D84" t="s">
        <v>4573</v>
      </c>
      <c r="E84" t="s">
        <v>4574</v>
      </c>
      <c r="F84">
        <v>76</v>
      </c>
      <c r="G84">
        <v>78</v>
      </c>
      <c r="H84">
        <v>3</v>
      </c>
    </row>
    <row r="85" spans="1:8" x14ac:dyDescent="0.25">
      <c r="A85">
        <v>84</v>
      </c>
      <c r="B85" t="s">
        <v>4391</v>
      </c>
      <c r="C85" t="s">
        <v>396</v>
      </c>
      <c r="D85" t="s">
        <v>397</v>
      </c>
      <c r="E85" t="s">
        <v>283</v>
      </c>
      <c r="F85">
        <v>35</v>
      </c>
      <c r="G85">
        <v>85</v>
      </c>
      <c r="H85">
        <v>73</v>
      </c>
    </row>
    <row r="86" spans="1:8" x14ac:dyDescent="0.25">
      <c r="A86">
        <v>85</v>
      </c>
      <c r="B86" t="s">
        <v>287</v>
      </c>
      <c r="C86" t="s">
        <v>288</v>
      </c>
      <c r="D86" t="s">
        <v>289</v>
      </c>
      <c r="E86" t="s">
        <v>290</v>
      </c>
      <c r="F86">
        <v>1</v>
      </c>
      <c r="G86">
        <v>83</v>
      </c>
      <c r="H86">
        <v>242</v>
      </c>
    </row>
    <row r="87" spans="1:8" x14ac:dyDescent="0.25">
      <c r="A87">
        <v>86</v>
      </c>
      <c r="B87" t="s">
        <v>985</v>
      </c>
      <c r="C87" t="s">
        <v>986</v>
      </c>
      <c r="D87" t="s">
        <v>987</v>
      </c>
      <c r="E87" t="s">
        <v>988</v>
      </c>
      <c r="F87">
        <v>14</v>
      </c>
      <c r="G87">
        <v>91</v>
      </c>
      <c r="H87">
        <v>36</v>
      </c>
    </row>
    <row r="88" spans="1:8" x14ac:dyDescent="0.25">
      <c r="A88">
        <v>87</v>
      </c>
      <c r="B88" t="s">
        <v>4389</v>
      </c>
      <c r="C88" t="s">
        <v>396</v>
      </c>
      <c r="D88" t="s">
        <v>4390</v>
      </c>
      <c r="E88" t="s">
        <v>283</v>
      </c>
      <c r="F88">
        <v>57</v>
      </c>
      <c r="G88">
        <v>88</v>
      </c>
      <c r="H88">
        <v>12</v>
      </c>
    </row>
    <row r="89" spans="1:8" x14ac:dyDescent="0.25">
      <c r="A89">
        <v>88</v>
      </c>
      <c r="B89" t="s">
        <v>3830</v>
      </c>
      <c r="C89" t="s">
        <v>3831</v>
      </c>
      <c r="D89" t="s">
        <v>3832</v>
      </c>
      <c r="E89" t="s">
        <v>88</v>
      </c>
      <c r="F89">
        <v>73</v>
      </c>
      <c r="G89">
        <v>82</v>
      </c>
      <c r="H89">
        <v>10</v>
      </c>
    </row>
    <row r="90" spans="1:8" x14ac:dyDescent="0.25">
      <c r="A90">
        <v>89</v>
      </c>
      <c r="B90" t="s">
        <v>981</v>
      </c>
      <c r="C90" t="s">
        <v>982</v>
      </c>
      <c r="D90" t="s">
        <v>983</v>
      </c>
      <c r="E90" t="s">
        <v>984</v>
      </c>
      <c r="F90">
        <v>44</v>
      </c>
      <c r="G90">
        <v>93</v>
      </c>
      <c r="H90">
        <v>20</v>
      </c>
    </row>
    <row r="91" spans="1:8" x14ac:dyDescent="0.25">
      <c r="A91">
        <v>90</v>
      </c>
      <c r="B91" t="s">
        <v>4514</v>
      </c>
      <c r="C91" t="s">
        <v>4515</v>
      </c>
      <c r="D91" t="s">
        <v>4516</v>
      </c>
      <c r="E91" t="s">
        <v>4517</v>
      </c>
      <c r="F91">
        <v>90</v>
      </c>
      <c r="G91">
        <v>94</v>
      </c>
      <c r="H91">
        <v>4</v>
      </c>
    </row>
    <row r="92" spans="1:8" x14ac:dyDescent="0.25">
      <c r="A92">
        <v>91</v>
      </c>
      <c r="B92" t="s">
        <v>467</v>
      </c>
      <c r="C92" t="s">
        <v>468</v>
      </c>
      <c r="D92" t="s">
        <v>469</v>
      </c>
      <c r="E92" t="s">
        <v>470</v>
      </c>
      <c r="F92">
        <v>43</v>
      </c>
      <c r="G92">
        <v>90</v>
      </c>
      <c r="H92">
        <v>29</v>
      </c>
    </row>
    <row r="93" spans="1:8" x14ac:dyDescent="0.25">
      <c r="A93">
        <v>92</v>
      </c>
      <c r="B93" t="s">
        <v>973</v>
      </c>
      <c r="C93" t="s">
        <v>974</v>
      </c>
      <c r="D93" t="s">
        <v>975</v>
      </c>
      <c r="E93" t="s">
        <v>976</v>
      </c>
      <c r="F93">
        <v>41</v>
      </c>
      <c r="G93">
        <v>86</v>
      </c>
      <c r="H93">
        <v>32</v>
      </c>
    </row>
    <row r="94" spans="1:8" x14ac:dyDescent="0.25">
      <c r="A94">
        <v>93</v>
      </c>
      <c r="B94" t="s">
        <v>456</v>
      </c>
      <c r="C94" t="s">
        <v>69</v>
      </c>
      <c r="D94" t="s">
        <v>457</v>
      </c>
      <c r="E94" t="s">
        <v>67</v>
      </c>
      <c r="F94">
        <v>88</v>
      </c>
      <c r="G94">
        <v>92</v>
      </c>
      <c r="H94">
        <v>3</v>
      </c>
    </row>
    <row r="95" spans="1:8" x14ac:dyDescent="0.25">
      <c r="A95">
        <v>94</v>
      </c>
      <c r="B95" t="s">
        <v>4694</v>
      </c>
      <c r="C95" t="s">
        <v>4695</v>
      </c>
      <c r="D95" t="s">
        <v>4696</v>
      </c>
      <c r="E95" t="s">
        <v>691</v>
      </c>
      <c r="F95">
        <v>34</v>
      </c>
      <c r="G95">
        <v>-1</v>
      </c>
      <c r="H95">
        <v>36</v>
      </c>
    </row>
    <row r="96" spans="1:8" x14ac:dyDescent="0.25">
      <c r="A96">
        <v>95</v>
      </c>
      <c r="B96" t="s">
        <v>4646</v>
      </c>
      <c r="C96" t="s">
        <v>4647</v>
      </c>
      <c r="D96" t="s">
        <v>4648</v>
      </c>
      <c r="E96" t="s">
        <v>910</v>
      </c>
      <c r="F96">
        <v>27</v>
      </c>
      <c r="G96">
        <v>99</v>
      </c>
      <c r="H96">
        <v>61</v>
      </c>
    </row>
    <row r="97" spans="1:8" x14ac:dyDescent="0.25">
      <c r="A97">
        <v>96</v>
      </c>
      <c r="B97" t="s">
        <v>102</v>
      </c>
      <c r="C97" t="s">
        <v>103</v>
      </c>
      <c r="D97" t="s">
        <v>104</v>
      </c>
      <c r="E97" t="s">
        <v>105</v>
      </c>
      <c r="F97">
        <v>3</v>
      </c>
      <c r="G97">
        <v>97</v>
      </c>
      <c r="H97">
        <v>273</v>
      </c>
    </row>
    <row r="98" spans="1:8" x14ac:dyDescent="0.25">
      <c r="A98">
        <v>97</v>
      </c>
      <c r="B98" t="s">
        <v>4392</v>
      </c>
      <c r="C98" t="s">
        <v>4393</v>
      </c>
      <c r="D98" t="s">
        <v>4394</v>
      </c>
      <c r="E98" t="s">
        <v>4395</v>
      </c>
      <c r="F98">
        <v>87</v>
      </c>
      <c r="G98">
        <v>95</v>
      </c>
      <c r="H98">
        <v>5</v>
      </c>
    </row>
    <row r="99" spans="1:8" x14ac:dyDescent="0.25">
      <c r="A99">
        <v>98</v>
      </c>
      <c r="B99" t="s">
        <v>4575</v>
      </c>
      <c r="C99" t="s">
        <v>1773</v>
      </c>
      <c r="D99" t="s">
        <v>4576</v>
      </c>
      <c r="E99" t="s">
        <v>2396</v>
      </c>
      <c r="F99">
        <v>84</v>
      </c>
      <c r="G99">
        <v>96</v>
      </c>
      <c r="H99">
        <v>3</v>
      </c>
    </row>
    <row r="100" spans="1:8" x14ac:dyDescent="0.25">
      <c r="A100">
        <v>99</v>
      </c>
      <c r="B100" t="s">
        <v>4644</v>
      </c>
      <c r="C100" t="s">
        <v>321</v>
      </c>
      <c r="D100" t="s">
        <v>4645</v>
      </c>
      <c r="E100" t="s">
        <v>321</v>
      </c>
      <c r="F100">
        <v>6</v>
      </c>
      <c r="G100">
        <v>98</v>
      </c>
      <c r="H100">
        <v>43</v>
      </c>
    </row>
    <row r="101" spans="1:8" x14ac:dyDescent="0.25">
      <c r="A101">
        <v>100</v>
      </c>
      <c r="B101" t="s">
        <v>4697</v>
      </c>
      <c r="C101" t="s">
        <v>4698</v>
      </c>
      <c r="D101" t="s">
        <v>4699</v>
      </c>
      <c r="E101" t="s">
        <v>938</v>
      </c>
      <c r="F101">
        <v>25</v>
      </c>
      <c r="G101">
        <v>-1</v>
      </c>
      <c r="H101">
        <v>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2A590-5A50-45E5-8A73-6392531D626A}">
  <sheetPr codeName="Planilha6"/>
  <dimension ref="A1:I201"/>
  <sheetViews>
    <sheetView showGridLines="0" topLeftCell="D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" bestFit="1" customWidth="1"/>
    <col min="3" max="4" width="81.140625" bestFit="1" customWidth="1"/>
    <col min="5" max="5" width="64.7109375" bestFit="1" customWidth="1"/>
    <col min="6" max="6" width="12.5703125" bestFit="1" customWidth="1"/>
    <col min="7" max="7" width="16" bestFit="1" customWidth="1"/>
    <col min="8" max="8" width="16.140625" bestFit="1" customWidth="1"/>
    <col min="9" max="9" width="10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</v>
      </c>
      <c r="B2" t="s">
        <v>272</v>
      </c>
      <c r="C2" t="s">
        <v>273</v>
      </c>
      <c r="D2" t="s">
        <v>274</v>
      </c>
      <c r="E2" t="s">
        <v>275</v>
      </c>
      <c r="F2">
        <v>1</v>
      </c>
      <c r="G2">
        <v>1</v>
      </c>
      <c r="H2">
        <v>75</v>
      </c>
      <c r="I2">
        <v>7826654</v>
      </c>
    </row>
    <row r="3" spans="1:9" x14ac:dyDescent="0.25">
      <c r="A3">
        <v>2</v>
      </c>
      <c r="B3" t="s">
        <v>1055</v>
      </c>
      <c r="C3" t="s">
        <v>266</v>
      </c>
      <c r="D3" t="s">
        <v>267</v>
      </c>
      <c r="E3" t="s">
        <v>268</v>
      </c>
      <c r="F3">
        <v>1</v>
      </c>
      <c r="G3">
        <v>2</v>
      </c>
      <c r="H3">
        <v>170</v>
      </c>
      <c r="I3">
        <v>5855193</v>
      </c>
    </row>
    <row r="4" spans="1:9" x14ac:dyDescent="0.25">
      <c r="A4">
        <v>3</v>
      </c>
      <c r="B4" t="s">
        <v>4297</v>
      </c>
      <c r="C4" t="s">
        <v>496</v>
      </c>
      <c r="D4" t="s">
        <v>4226</v>
      </c>
      <c r="E4" t="s">
        <v>1133</v>
      </c>
      <c r="F4">
        <v>1</v>
      </c>
      <c r="G4">
        <v>3</v>
      </c>
      <c r="H4">
        <v>7</v>
      </c>
      <c r="I4">
        <v>5492161</v>
      </c>
    </row>
    <row r="5" spans="1:9" x14ac:dyDescent="0.25">
      <c r="A5">
        <v>4</v>
      </c>
      <c r="B5" t="s">
        <v>106</v>
      </c>
      <c r="C5" t="s">
        <v>107</v>
      </c>
      <c r="D5" t="s">
        <v>108</v>
      </c>
      <c r="E5" t="s">
        <v>109</v>
      </c>
      <c r="F5">
        <v>1</v>
      </c>
      <c r="G5">
        <v>4</v>
      </c>
      <c r="H5">
        <v>210</v>
      </c>
      <c r="I5">
        <v>4874778</v>
      </c>
    </row>
    <row r="6" spans="1:9" x14ac:dyDescent="0.25">
      <c r="A6">
        <v>5</v>
      </c>
      <c r="B6" t="s">
        <v>4298</v>
      </c>
      <c r="C6" t="s">
        <v>496</v>
      </c>
      <c r="D6" t="s">
        <v>1132</v>
      </c>
      <c r="E6" t="s">
        <v>1133</v>
      </c>
      <c r="F6">
        <v>1</v>
      </c>
      <c r="G6">
        <v>5</v>
      </c>
      <c r="H6">
        <v>91</v>
      </c>
      <c r="I6">
        <v>4141041</v>
      </c>
    </row>
    <row r="7" spans="1:9" x14ac:dyDescent="0.25">
      <c r="A7">
        <v>6</v>
      </c>
      <c r="B7" t="s">
        <v>1109</v>
      </c>
      <c r="C7" t="s">
        <v>1034</v>
      </c>
      <c r="D7" t="s">
        <v>1110</v>
      </c>
      <c r="E7" t="s">
        <v>275</v>
      </c>
      <c r="F7">
        <v>3</v>
      </c>
      <c r="G7">
        <v>6</v>
      </c>
      <c r="H7">
        <v>74</v>
      </c>
      <c r="I7">
        <v>4043084</v>
      </c>
    </row>
    <row r="8" spans="1:9" x14ac:dyDescent="0.25">
      <c r="A8">
        <v>7</v>
      </c>
      <c r="B8" t="s">
        <v>1033</v>
      </c>
      <c r="C8" t="s">
        <v>1034</v>
      </c>
      <c r="D8" t="s">
        <v>1035</v>
      </c>
      <c r="E8" t="s">
        <v>275</v>
      </c>
      <c r="F8">
        <v>3</v>
      </c>
      <c r="G8">
        <v>7</v>
      </c>
      <c r="H8">
        <v>74</v>
      </c>
      <c r="I8">
        <v>3938025</v>
      </c>
    </row>
    <row r="9" spans="1:9" x14ac:dyDescent="0.25">
      <c r="A9">
        <v>8</v>
      </c>
      <c r="B9" t="s">
        <v>300</v>
      </c>
      <c r="C9" t="s">
        <v>301</v>
      </c>
      <c r="D9" t="s">
        <v>302</v>
      </c>
      <c r="E9" t="s">
        <v>303</v>
      </c>
      <c r="F9">
        <v>1</v>
      </c>
      <c r="G9">
        <v>8</v>
      </c>
      <c r="H9">
        <v>112</v>
      </c>
      <c r="I9">
        <v>3911604</v>
      </c>
    </row>
    <row r="10" spans="1:9" x14ac:dyDescent="0.25">
      <c r="A10">
        <v>9</v>
      </c>
      <c r="B10" t="s">
        <v>1115</v>
      </c>
      <c r="C10" t="s">
        <v>620</v>
      </c>
      <c r="D10" t="s">
        <v>1116</v>
      </c>
      <c r="E10" t="s">
        <v>1117</v>
      </c>
      <c r="F10">
        <v>1</v>
      </c>
      <c r="G10">
        <v>10</v>
      </c>
      <c r="H10">
        <v>56</v>
      </c>
      <c r="I10">
        <v>3470721</v>
      </c>
    </row>
    <row r="11" spans="1:9" x14ac:dyDescent="0.25">
      <c r="A11">
        <v>10</v>
      </c>
      <c r="B11" t="s">
        <v>1111</v>
      </c>
      <c r="C11" t="s">
        <v>273</v>
      </c>
      <c r="D11" t="s">
        <v>1112</v>
      </c>
      <c r="E11" t="s">
        <v>275</v>
      </c>
      <c r="F11">
        <v>6</v>
      </c>
      <c r="G11">
        <v>9</v>
      </c>
      <c r="H11">
        <v>74</v>
      </c>
      <c r="I11">
        <v>3425446</v>
      </c>
    </row>
    <row r="12" spans="1:9" x14ac:dyDescent="0.25">
      <c r="A12">
        <v>11</v>
      </c>
      <c r="B12" t="s">
        <v>229</v>
      </c>
      <c r="C12" t="s">
        <v>230</v>
      </c>
      <c r="D12" t="s">
        <v>231</v>
      </c>
      <c r="E12" t="s">
        <v>232</v>
      </c>
      <c r="F12">
        <v>1</v>
      </c>
      <c r="G12">
        <v>11</v>
      </c>
      <c r="H12">
        <v>385</v>
      </c>
      <c r="I12">
        <v>3414868</v>
      </c>
    </row>
    <row r="13" spans="1:9" x14ac:dyDescent="0.25">
      <c r="A13">
        <v>12</v>
      </c>
      <c r="B13" t="s">
        <v>1319</v>
      </c>
      <c r="C13" t="s">
        <v>1320</v>
      </c>
      <c r="D13" t="s">
        <v>1321</v>
      </c>
      <c r="E13" t="s">
        <v>1322</v>
      </c>
      <c r="F13">
        <v>12</v>
      </c>
      <c r="G13">
        <v>12</v>
      </c>
      <c r="H13">
        <v>16</v>
      </c>
      <c r="I13">
        <v>3378704</v>
      </c>
    </row>
    <row r="14" spans="1:9" x14ac:dyDescent="0.25">
      <c r="A14">
        <v>13</v>
      </c>
      <c r="B14" t="s">
        <v>4303</v>
      </c>
      <c r="C14" t="s">
        <v>496</v>
      </c>
      <c r="D14" t="s">
        <v>4237</v>
      </c>
      <c r="E14" t="s">
        <v>1133</v>
      </c>
      <c r="F14">
        <v>6</v>
      </c>
      <c r="G14">
        <v>13</v>
      </c>
      <c r="H14">
        <v>7</v>
      </c>
      <c r="I14">
        <v>3278031</v>
      </c>
    </row>
    <row r="15" spans="1:9" x14ac:dyDescent="0.25">
      <c r="A15">
        <v>14</v>
      </c>
      <c r="B15" t="s">
        <v>4304</v>
      </c>
      <c r="C15" t="s">
        <v>496</v>
      </c>
      <c r="D15" t="s">
        <v>4239</v>
      </c>
      <c r="E15" t="s">
        <v>1133</v>
      </c>
      <c r="F15">
        <v>9</v>
      </c>
      <c r="G15">
        <v>15</v>
      </c>
      <c r="H15">
        <v>7</v>
      </c>
      <c r="I15">
        <v>3269289</v>
      </c>
    </row>
    <row r="16" spans="1:9" x14ac:dyDescent="0.25">
      <c r="A16">
        <v>15</v>
      </c>
      <c r="B16" t="s">
        <v>1118</v>
      </c>
      <c r="C16" t="s">
        <v>481</v>
      </c>
      <c r="D16" t="s">
        <v>1119</v>
      </c>
      <c r="E16" t="s">
        <v>1120</v>
      </c>
      <c r="F16">
        <v>1</v>
      </c>
      <c r="G16">
        <v>16</v>
      </c>
      <c r="H16">
        <v>476</v>
      </c>
      <c r="I16">
        <v>3212486</v>
      </c>
    </row>
    <row r="17" spans="1:9" x14ac:dyDescent="0.25">
      <c r="A17">
        <v>16</v>
      </c>
      <c r="B17" t="s">
        <v>1113</v>
      </c>
      <c r="C17" t="s">
        <v>273</v>
      </c>
      <c r="D17" t="s">
        <v>1114</v>
      </c>
      <c r="E17" t="s">
        <v>275</v>
      </c>
      <c r="F17">
        <v>7</v>
      </c>
      <c r="G17">
        <v>14</v>
      </c>
      <c r="H17">
        <v>74</v>
      </c>
      <c r="I17">
        <v>3196888</v>
      </c>
    </row>
    <row r="18" spans="1:9" x14ac:dyDescent="0.25">
      <c r="A18">
        <v>17</v>
      </c>
      <c r="B18" t="s">
        <v>482</v>
      </c>
      <c r="C18" t="s">
        <v>483</v>
      </c>
      <c r="D18" t="s">
        <v>484</v>
      </c>
      <c r="E18" t="s">
        <v>268</v>
      </c>
      <c r="F18">
        <v>13</v>
      </c>
      <c r="G18">
        <v>17</v>
      </c>
      <c r="H18">
        <v>721</v>
      </c>
      <c r="I18">
        <v>3128660</v>
      </c>
    </row>
    <row r="19" spans="1:9" x14ac:dyDescent="0.25">
      <c r="A19">
        <v>18</v>
      </c>
      <c r="B19" t="s">
        <v>1121</v>
      </c>
      <c r="C19" t="s">
        <v>1122</v>
      </c>
      <c r="D19" t="s">
        <v>1123</v>
      </c>
      <c r="E19" t="s">
        <v>1124</v>
      </c>
      <c r="F19">
        <v>4</v>
      </c>
      <c r="G19">
        <v>18</v>
      </c>
      <c r="H19">
        <v>191</v>
      </c>
      <c r="I19">
        <v>3015159</v>
      </c>
    </row>
    <row r="20" spans="1:9" x14ac:dyDescent="0.25">
      <c r="A20">
        <v>19</v>
      </c>
      <c r="B20" t="s">
        <v>954</v>
      </c>
      <c r="C20" t="s">
        <v>955</v>
      </c>
      <c r="D20" t="s">
        <v>956</v>
      </c>
      <c r="E20" t="s">
        <v>957</v>
      </c>
      <c r="F20">
        <v>18</v>
      </c>
      <c r="G20">
        <v>20</v>
      </c>
      <c r="H20">
        <v>70</v>
      </c>
      <c r="I20">
        <v>2955053</v>
      </c>
    </row>
    <row r="21" spans="1:9" x14ac:dyDescent="0.25">
      <c r="A21">
        <v>20</v>
      </c>
      <c r="B21" t="s">
        <v>502</v>
      </c>
      <c r="C21" t="s">
        <v>503</v>
      </c>
      <c r="D21" t="s">
        <v>504</v>
      </c>
      <c r="E21" t="s">
        <v>505</v>
      </c>
      <c r="F21">
        <v>10</v>
      </c>
      <c r="G21">
        <v>23</v>
      </c>
      <c r="H21">
        <v>77</v>
      </c>
      <c r="I21">
        <v>2940954</v>
      </c>
    </row>
    <row r="22" spans="1:9" x14ac:dyDescent="0.25">
      <c r="A22">
        <v>21</v>
      </c>
      <c r="B22" t="s">
        <v>1129</v>
      </c>
      <c r="C22" t="s">
        <v>1130</v>
      </c>
      <c r="D22" t="s">
        <v>1131</v>
      </c>
      <c r="E22" t="s">
        <v>109</v>
      </c>
      <c r="F22">
        <v>8</v>
      </c>
      <c r="G22">
        <v>22</v>
      </c>
      <c r="H22">
        <v>170</v>
      </c>
      <c r="I22">
        <v>2937623</v>
      </c>
    </row>
    <row r="23" spans="1:9" x14ac:dyDescent="0.25">
      <c r="A23">
        <v>22</v>
      </c>
      <c r="B23" t="s">
        <v>4308</v>
      </c>
      <c r="C23" t="s">
        <v>496</v>
      </c>
      <c r="D23" t="s">
        <v>4245</v>
      </c>
      <c r="E23" t="s">
        <v>1133</v>
      </c>
      <c r="F23">
        <v>15</v>
      </c>
      <c r="G23">
        <v>27</v>
      </c>
      <c r="H23">
        <v>7</v>
      </c>
      <c r="I23">
        <v>2913674</v>
      </c>
    </row>
    <row r="24" spans="1:9" x14ac:dyDescent="0.25">
      <c r="A24">
        <v>23</v>
      </c>
      <c r="B24" t="s">
        <v>498</v>
      </c>
      <c r="C24" t="s">
        <v>499</v>
      </c>
      <c r="D24" t="s">
        <v>500</v>
      </c>
      <c r="E24" t="s">
        <v>501</v>
      </c>
      <c r="F24">
        <v>1</v>
      </c>
      <c r="G24">
        <v>21</v>
      </c>
      <c r="H24">
        <v>55</v>
      </c>
      <c r="I24">
        <v>2901574</v>
      </c>
    </row>
    <row r="25" spans="1:9" x14ac:dyDescent="0.25">
      <c r="A25">
        <v>24</v>
      </c>
      <c r="B25" t="s">
        <v>1127</v>
      </c>
      <c r="C25" t="s">
        <v>266</v>
      </c>
      <c r="D25" t="s">
        <v>1128</v>
      </c>
      <c r="E25" t="s">
        <v>268</v>
      </c>
      <c r="F25">
        <v>6</v>
      </c>
      <c r="G25">
        <v>24</v>
      </c>
      <c r="H25">
        <v>162</v>
      </c>
      <c r="I25">
        <v>2883587</v>
      </c>
    </row>
    <row r="26" spans="1:9" x14ac:dyDescent="0.25">
      <c r="A26">
        <v>25</v>
      </c>
      <c r="B26" t="s">
        <v>4299</v>
      </c>
      <c r="C26" t="s">
        <v>496</v>
      </c>
      <c r="D26" t="s">
        <v>4231</v>
      </c>
      <c r="E26" t="s">
        <v>1133</v>
      </c>
      <c r="F26">
        <v>4</v>
      </c>
      <c r="G26">
        <v>19</v>
      </c>
      <c r="H26">
        <v>7</v>
      </c>
      <c r="I26">
        <v>2877607</v>
      </c>
    </row>
    <row r="27" spans="1:9" x14ac:dyDescent="0.25">
      <c r="A27">
        <v>26</v>
      </c>
      <c r="B27" t="s">
        <v>1003</v>
      </c>
      <c r="C27" t="s">
        <v>1004</v>
      </c>
      <c r="D27" t="s">
        <v>1005</v>
      </c>
      <c r="E27" t="s">
        <v>275</v>
      </c>
      <c r="F27">
        <v>13</v>
      </c>
      <c r="G27">
        <v>25</v>
      </c>
      <c r="H27">
        <v>74</v>
      </c>
      <c r="I27">
        <v>2819723</v>
      </c>
    </row>
    <row r="28" spans="1:9" x14ac:dyDescent="0.25">
      <c r="A28">
        <v>27</v>
      </c>
      <c r="B28" t="s">
        <v>1104</v>
      </c>
      <c r="C28" t="s">
        <v>1105</v>
      </c>
      <c r="D28" t="s">
        <v>1106</v>
      </c>
      <c r="E28" t="s">
        <v>303</v>
      </c>
      <c r="F28">
        <v>1</v>
      </c>
      <c r="G28">
        <v>29</v>
      </c>
      <c r="H28">
        <v>413</v>
      </c>
      <c r="I28">
        <v>2772368</v>
      </c>
    </row>
    <row r="29" spans="1:9" x14ac:dyDescent="0.25">
      <c r="A29">
        <v>28</v>
      </c>
      <c r="B29" t="s">
        <v>1125</v>
      </c>
      <c r="C29" t="s">
        <v>273</v>
      </c>
      <c r="D29" t="s">
        <v>1126</v>
      </c>
      <c r="E29" t="s">
        <v>275</v>
      </c>
      <c r="F29">
        <v>12</v>
      </c>
      <c r="G29">
        <v>28</v>
      </c>
      <c r="H29">
        <v>73</v>
      </c>
      <c r="I29">
        <v>2767932</v>
      </c>
    </row>
    <row r="30" spans="1:9" x14ac:dyDescent="0.25">
      <c r="A30">
        <v>29</v>
      </c>
      <c r="B30" t="s">
        <v>4305</v>
      </c>
      <c r="C30" t="s">
        <v>496</v>
      </c>
      <c r="D30" t="s">
        <v>4241</v>
      </c>
      <c r="E30" t="s">
        <v>1133</v>
      </c>
      <c r="F30">
        <v>12</v>
      </c>
      <c r="G30">
        <v>26</v>
      </c>
      <c r="H30">
        <v>7</v>
      </c>
      <c r="I30">
        <v>2690586</v>
      </c>
    </row>
    <row r="31" spans="1:9" x14ac:dyDescent="0.25">
      <c r="A31">
        <v>30</v>
      </c>
      <c r="B31" t="s">
        <v>4300</v>
      </c>
      <c r="C31" t="s">
        <v>496</v>
      </c>
      <c r="D31" t="s">
        <v>4233</v>
      </c>
      <c r="E31" t="s">
        <v>1133</v>
      </c>
      <c r="F31">
        <v>5</v>
      </c>
      <c r="G31">
        <v>30</v>
      </c>
      <c r="H31">
        <v>7</v>
      </c>
      <c r="I31">
        <v>2669483</v>
      </c>
    </row>
    <row r="32" spans="1:9" x14ac:dyDescent="0.25">
      <c r="A32">
        <v>31</v>
      </c>
      <c r="B32" t="s">
        <v>4309</v>
      </c>
      <c r="C32" t="s">
        <v>496</v>
      </c>
      <c r="D32" t="s">
        <v>4249</v>
      </c>
      <c r="E32" t="s">
        <v>1133</v>
      </c>
      <c r="F32">
        <v>17</v>
      </c>
      <c r="G32">
        <v>31</v>
      </c>
      <c r="H32">
        <v>7</v>
      </c>
      <c r="I32">
        <v>2587631</v>
      </c>
    </row>
    <row r="33" spans="1:9" x14ac:dyDescent="0.25">
      <c r="A33">
        <v>32</v>
      </c>
      <c r="B33" t="s">
        <v>1149</v>
      </c>
      <c r="C33" t="s">
        <v>1150</v>
      </c>
      <c r="D33" t="s">
        <v>1151</v>
      </c>
      <c r="E33" t="s">
        <v>1152</v>
      </c>
      <c r="F33">
        <v>5</v>
      </c>
      <c r="G33">
        <v>32</v>
      </c>
      <c r="H33">
        <v>383</v>
      </c>
      <c r="I33">
        <v>2509412</v>
      </c>
    </row>
    <row r="34" spans="1:9" x14ac:dyDescent="0.25">
      <c r="A34">
        <v>33</v>
      </c>
      <c r="B34" t="s">
        <v>1186</v>
      </c>
      <c r="C34" t="s">
        <v>511</v>
      </c>
      <c r="D34" t="s">
        <v>1187</v>
      </c>
      <c r="E34" t="s">
        <v>1164</v>
      </c>
      <c r="F34">
        <v>27</v>
      </c>
      <c r="G34">
        <v>33</v>
      </c>
      <c r="H34">
        <v>363</v>
      </c>
      <c r="I34">
        <v>2495237</v>
      </c>
    </row>
    <row r="35" spans="1:9" x14ac:dyDescent="0.25">
      <c r="A35">
        <v>34</v>
      </c>
      <c r="B35" t="s">
        <v>1188</v>
      </c>
      <c r="C35" t="s">
        <v>266</v>
      </c>
      <c r="D35" t="s">
        <v>1020</v>
      </c>
      <c r="E35" t="s">
        <v>268</v>
      </c>
      <c r="F35">
        <v>34</v>
      </c>
      <c r="G35">
        <v>34</v>
      </c>
      <c r="H35">
        <v>39</v>
      </c>
      <c r="I35">
        <v>2464158</v>
      </c>
    </row>
    <row r="36" spans="1:9" x14ac:dyDescent="0.25">
      <c r="A36">
        <v>35</v>
      </c>
      <c r="B36" t="s">
        <v>334</v>
      </c>
      <c r="C36" t="s">
        <v>335</v>
      </c>
      <c r="D36" t="s">
        <v>336</v>
      </c>
      <c r="E36" t="s">
        <v>337</v>
      </c>
      <c r="F36">
        <v>1</v>
      </c>
      <c r="G36">
        <v>35</v>
      </c>
      <c r="H36">
        <v>595</v>
      </c>
      <c r="I36">
        <v>2454640</v>
      </c>
    </row>
    <row r="37" spans="1:9" x14ac:dyDescent="0.25">
      <c r="A37">
        <v>36</v>
      </c>
      <c r="B37" t="s">
        <v>1141</v>
      </c>
      <c r="C37" t="s">
        <v>1142</v>
      </c>
      <c r="D37" t="s">
        <v>1143</v>
      </c>
      <c r="E37" t="s">
        <v>1144</v>
      </c>
      <c r="F37">
        <v>27</v>
      </c>
      <c r="G37">
        <v>37</v>
      </c>
      <c r="H37">
        <v>53</v>
      </c>
      <c r="I37">
        <v>2449815</v>
      </c>
    </row>
    <row r="38" spans="1:9" x14ac:dyDescent="0.25">
      <c r="A38">
        <v>37</v>
      </c>
      <c r="B38" t="s">
        <v>1162</v>
      </c>
      <c r="C38" t="s">
        <v>511</v>
      </c>
      <c r="D38" t="s">
        <v>1163</v>
      </c>
      <c r="E38" t="s">
        <v>1164</v>
      </c>
      <c r="F38">
        <v>15</v>
      </c>
      <c r="G38">
        <v>38</v>
      </c>
      <c r="H38">
        <v>1708</v>
      </c>
      <c r="I38">
        <v>2417198</v>
      </c>
    </row>
    <row r="39" spans="1:9" x14ac:dyDescent="0.25">
      <c r="A39">
        <v>38</v>
      </c>
      <c r="B39" t="s">
        <v>1225</v>
      </c>
      <c r="C39" t="s">
        <v>1226</v>
      </c>
      <c r="D39" t="s">
        <v>1227</v>
      </c>
      <c r="E39" t="s">
        <v>109</v>
      </c>
      <c r="F39">
        <v>7</v>
      </c>
      <c r="G39">
        <v>40</v>
      </c>
      <c r="H39">
        <v>98</v>
      </c>
      <c r="I39">
        <v>2381173</v>
      </c>
    </row>
    <row r="40" spans="1:9" x14ac:dyDescent="0.25">
      <c r="A40">
        <v>39</v>
      </c>
      <c r="B40" t="s">
        <v>1156</v>
      </c>
      <c r="C40" t="s">
        <v>481</v>
      </c>
      <c r="D40" t="s">
        <v>1157</v>
      </c>
      <c r="E40" t="s">
        <v>1120</v>
      </c>
      <c r="F40">
        <v>8</v>
      </c>
      <c r="G40">
        <v>36</v>
      </c>
      <c r="H40">
        <v>476</v>
      </c>
      <c r="I40">
        <v>2355331</v>
      </c>
    </row>
    <row r="41" spans="1:9" x14ac:dyDescent="0.25">
      <c r="A41">
        <v>40</v>
      </c>
      <c r="B41" t="s">
        <v>4306</v>
      </c>
      <c r="C41" t="s">
        <v>496</v>
      </c>
      <c r="D41" t="s">
        <v>4243</v>
      </c>
      <c r="E41" t="s">
        <v>1133</v>
      </c>
      <c r="F41">
        <v>11</v>
      </c>
      <c r="G41">
        <v>39</v>
      </c>
      <c r="H41">
        <v>7</v>
      </c>
      <c r="I41">
        <v>2289277</v>
      </c>
    </row>
    <row r="42" spans="1:9" x14ac:dyDescent="0.25">
      <c r="A42">
        <v>41</v>
      </c>
      <c r="B42" t="s">
        <v>338</v>
      </c>
      <c r="C42" t="s">
        <v>339</v>
      </c>
      <c r="D42" t="s">
        <v>340</v>
      </c>
      <c r="E42" t="s">
        <v>341</v>
      </c>
      <c r="F42">
        <v>14</v>
      </c>
      <c r="G42">
        <v>47</v>
      </c>
      <c r="H42">
        <v>1837</v>
      </c>
      <c r="I42">
        <v>2273713</v>
      </c>
    </row>
    <row r="43" spans="1:9" x14ac:dyDescent="0.25">
      <c r="A43">
        <v>42</v>
      </c>
      <c r="B43" t="s">
        <v>1200</v>
      </c>
      <c r="C43" t="s">
        <v>1201</v>
      </c>
      <c r="D43" t="s">
        <v>1202</v>
      </c>
      <c r="E43" t="s">
        <v>1203</v>
      </c>
      <c r="F43">
        <v>15</v>
      </c>
      <c r="G43">
        <v>42</v>
      </c>
      <c r="H43">
        <v>107</v>
      </c>
      <c r="I43">
        <v>2260823</v>
      </c>
    </row>
    <row r="44" spans="1:9" x14ac:dyDescent="0.25">
      <c r="A44">
        <v>43</v>
      </c>
      <c r="B44" t="s">
        <v>1296</v>
      </c>
      <c r="C44" t="s">
        <v>1297</v>
      </c>
      <c r="D44" t="s">
        <v>1298</v>
      </c>
      <c r="E44" t="s">
        <v>1299</v>
      </c>
      <c r="F44">
        <v>43</v>
      </c>
      <c r="G44">
        <v>48</v>
      </c>
      <c r="H44">
        <v>38</v>
      </c>
      <c r="I44">
        <v>2244159</v>
      </c>
    </row>
    <row r="45" spans="1:9" x14ac:dyDescent="0.25">
      <c r="A45">
        <v>44</v>
      </c>
      <c r="B45" t="s">
        <v>1287</v>
      </c>
      <c r="C45" t="s">
        <v>1288</v>
      </c>
      <c r="D45" t="s">
        <v>1289</v>
      </c>
      <c r="E45" t="s">
        <v>341</v>
      </c>
      <c r="F45">
        <v>6</v>
      </c>
      <c r="G45">
        <v>46</v>
      </c>
      <c r="H45">
        <v>46</v>
      </c>
      <c r="I45">
        <v>2240392</v>
      </c>
    </row>
    <row r="46" spans="1:9" x14ac:dyDescent="0.25">
      <c r="A46">
        <v>45</v>
      </c>
      <c r="B46" t="s">
        <v>1134</v>
      </c>
      <c r="C46" t="s">
        <v>1135</v>
      </c>
      <c r="D46" t="s">
        <v>1136</v>
      </c>
      <c r="E46" t="s">
        <v>109</v>
      </c>
      <c r="F46">
        <v>1</v>
      </c>
      <c r="G46">
        <v>43</v>
      </c>
      <c r="H46">
        <v>322</v>
      </c>
      <c r="I46">
        <v>2205519</v>
      </c>
    </row>
    <row r="47" spans="1:9" x14ac:dyDescent="0.25">
      <c r="A47">
        <v>46</v>
      </c>
      <c r="B47" t="s">
        <v>1180</v>
      </c>
      <c r="C47" t="s">
        <v>1181</v>
      </c>
      <c r="D47" t="s">
        <v>1182</v>
      </c>
      <c r="E47" t="s">
        <v>1183</v>
      </c>
      <c r="F47">
        <v>2</v>
      </c>
      <c r="G47">
        <v>52</v>
      </c>
      <c r="H47">
        <v>698</v>
      </c>
      <c r="I47">
        <v>2187240</v>
      </c>
    </row>
    <row r="48" spans="1:9" x14ac:dyDescent="0.25">
      <c r="A48">
        <v>47</v>
      </c>
      <c r="B48" t="s">
        <v>911</v>
      </c>
      <c r="C48" t="s">
        <v>912</v>
      </c>
      <c r="D48" t="s">
        <v>913</v>
      </c>
      <c r="E48" t="s">
        <v>914</v>
      </c>
      <c r="F48">
        <v>1</v>
      </c>
      <c r="G48">
        <v>44</v>
      </c>
      <c r="H48">
        <v>35</v>
      </c>
      <c r="I48">
        <v>2151086</v>
      </c>
    </row>
    <row r="49" spans="1:9" x14ac:dyDescent="0.25">
      <c r="A49">
        <v>48</v>
      </c>
      <c r="B49" t="s">
        <v>4302</v>
      </c>
      <c r="C49" t="s">
        <v>496</v>
      </c>
      <c r="D49" t="s">
        <v>4235</v>
      </c>
      <c r="E49" t="s">
        <v>1133</v>
      </c>
      <c r="F49">
        <v>7</v>
      </c>
      <c r="G49">
        <v>41</v>
      </c>
      <c r="H49">
        <v>7</v>
      </c>
      <c r="I49">
        <v>2127001</v>
      </c>
    </row>
    <row r="50" spans="1:9" x14ac:dyDescent="0.25">
      <c r="A50">
        <v>49</v>
      </c>
      <c r="B50" t="s">
        <v>1171</v>
      </c>
      <c r="C50" t="s">
        <v>1172</v>
      </c>
      <c r="D50" t="s">
        <v>1173</v>
      </c>
      <c r="E50" t="s">
        <v>1124</v>
      </c>
      <c r="F50">
        <v>33</v>
      </c>
      <c r="G50">
        <v>50</v>
      </c>
      <c r="H50">
        <v>80</v>
      </c>
      <c r="I50">
        <v>2109936</v>
      </c>
    </row>
    <row r="51" spans="1:9" x14ac:dyDescent="0.25">
      <c r="A51">
        <v>50</v>
      </c>
      <c r="B51" t="s">
        <v>1219</v>
      </c>
      <c r="C51" t="s">
        <v>1220</v>
      </c>
      <c r="D51" t="s">
        <v>1221</v>
      </c>
      <c r="E51" t="s">
        <v>1222</v>
      </c>
      <c r="F51">
        <v>35</v>
      </c>
      <c r="G51">
        <v>51</v>
      </c>
      <c r="H51">
        <v>644</v>
      </c>
      <c r="I51">
        <v>2098029</v>
      </c>
    </row>
    <row r="52" spans="1:9" x14ac:dyDescent="0.25">
      <c r="A52">
        <v>51</v>
      </c>
      <c r="B52" t="s">
        <v>1145</v>
      </c>
      <c r="C52" t="s">
        <v>1146</v>
      </c>
      <c r="D52" t="s">
        <v>1147</v>
      </c>
      <c r="E52" t="s">
        <v>1148</v>
      </c>
      <c r="F52">
        <v>15</v>
      </c>
      <c r="G52">
        <v>49</v>
      </c>
      <c r="H52">
        <v>1130</v>
      </c>
      <c r="I52">
        <v>2083253</v>
      </c>
    </row>
    <row r="53" spans="1:9" x14ac:dyDescent="0.25">
      <c r="A53">
        <v>52</v>
      </c>
      <c r="B53" t="s">
        <v>1230</v>
      </c>
      <c r="C53" t="s">
        <v>1231</v>
      </c>
      <c r="D53" t="s">
        <v>1232</v>
      </c>
      <c r="E53" t="s">
        <v>1233</v>
      </c>
      <c r="F53">
        <v>37</v>
      </c>
      <c r="G53">
        <v>69</v>
      </c>
      <c r="H53">
        <v>60</v>
      </c>
      <c r="I53">
        <v>2062968</v>
      </c>
    </row>
    <row r="54" spans="1:9" x14ac:dyDescent="0.25">
      <c r="A54">
        <v>53</v>
      </c>
      <c r="B54" t="s">
        <v>380</v>
      </c>
      <c r="C54" t="s">
        <v>381</v>
      </c>
      <c r="D54" t="s">
        <v>382</v>
      </c>
      <c r="E54" t="s">
        <v>268</v>
      </c>
      <c r="F54">
        <v>5</v>
      </c>
      <c r="G54">
        <v>66</v>
      </c>
      <c r="H54">
        <v>659</v>
      </c>
      <c r="I54">
        <v>2049285</v>
      </c>
    </row>
    <row r="55" spans="1:9" x14ac:dyDescent="0.25">
      <c r="A55">
        <v>54</v>
      </c>
      <c r="B55" t="s">
        <v>1184</v>
      </c>
      <c r="C55" t="s">
        <v>1177</v>
      </c>
      <c r="D55" t="s">
        <v>1185</v>
      </c>
      <c r="E55" t="s">
        <v>1179</v>
      </c>
      <c r="F55">
        <v>9</v>
      </c>
      <c r="G55">
        <v>53</v>
      </c>
      <c r="H55">
        <v>115</v>
      </c>
      <c r="I55">
        <v>2044893</v>
      </c>
    </row>
    <row r="56" spans="1:9" x14ac:dyDescent="0.25">
      <c r="A56">
        <v>55</v>
      </c>
      <c r="B56" t="s">
        <v>1437</v>
      </c>
      <c r="C56" t="s">
        <v>1438</v>
      </c>
      <c r="D56" t="s">
        <v>1439</v>
      </c>
      <c r="E56" t="s">
        <v>1164</v>
      </c>
      <c r="F56">
        <v>52</v>
      </c>
      <c r="G56">
        <v>58</v>
      </c>
      <c r="H56">
        <v>247</v>
      </c>
      <c r="I56">
        <v>2038444</v>
      </c>
    </row>
    <row r="57" spans="1:9" x14ac:dyDescent="0.25">
      <c r="A57">
        <v>56</v>
      </c>
      <c r="B57" t="s">
        <v>1268</v>
      </c>
      <c r="C57" t="s">
        <v>1220</v>
      </c>
      <c r="D57" t="s">
        <v>1269</v>
      </c>
      <c r="E57" t="s">
        <v>1222</v>
      </c>
      <c r="F57">
        <v>51</v>
      </c>
      <c r="G57">
        <v>55</v>
      </c>
      <c r="H57">
        <v>96</v>
      </c>
      <c r="I57">
        <v>2020704</v>
      </c>
    </row>
    <row r="58" spans="1:9" x14ac:dyDescent="0.25">
      <c r="A58">
        <v>57</v>
      </c>
      <c r="B58" t="s">
        <v>1265</v>
      </c>
      <c r="C58" t="s">
        <v>723</v>
      </c>
      <c r="D58" t="s">
        <v>1266</v>
      </c>
      <c r="E58" t="s">
        <v>1267</v>
      </c>
      <c r="F58">
        <v>50</v>
      </c>
      <c r="G58">
        <v>62</v>
      </c>
      <c r="H58">
        <v>160</v>
      </c>
      <c r="I58">
        <v>2010152</v>
      </c>
    </row>
    <row r="59" spans="1:9" x14ac:dyDescent="0.25">
      <c r="A59">
        <v>58</v>
      </c>
      <c r="B59" t="s">
        <v>1212</v>
      </c>
      <c r="C59" t="s">
        <v>495</v>
      </c>
      <c r="D59" t="s">
        <v>1213</v>
      </c>
      <c r="E59" t="s">
        <v>1214</v>
      </c>
      <c r="F59">
        <v>11</v>
      </c>
      <c r="G59">
        <v>54</v>
      </c>
      <c r="H59">
        <v>1156</v>
      </c>
      <c r="I59">
        <v>2002405</v>
      </c>
    </row>
    <row r="60" spans="1:9" x14ac:dyDescent="0.25">
      <c r="A60">
        <v>59</v>
      </c>
      <c r="B60" t="s">
        <v>1208</v>
      </c>
      <c r="C60" t="s">
        <v>1209</v>
      </c>
      <c r="D60" t="s">
        <v>1210</v>
      </c>
      <c r="E60" t="s">
        <v>1211</v>
      </c>
      <c r="F60">
        <v>31</v>
      </c>
      <c r="G60">
        <v>60</v>
      </c>
      <c r="H60">
        <v>1422</v>
      </c>
      <c r="I60">
        <v>1981437</v>
      </c>
    </row>
    <row r="61" spans="1:9" x14ac:dyDescent="0.25">
      <c r="A61">
        <v>60</v>
      </c>
      <c r="B61" t="s">
        <v>1482</v>
      </c>
      <c r="C61" t="s">
        <v>1483</v>
      </c>
      <c r="D61" t="s">
        <v>1484</v>
      </c>
      <c r="E61" t="s">
        <v>1483</v>
      </c>
      <c r="F61">
        <v>1</v>
      </c>
      <c r="G61">
        <v>59</v>
      </c>
      <c r="H61">
        <v>566</v>
      </c>
      <c r="I61">
        <v>1952070</v>
      </c>
    </row>
    <row r="62" spans="1:9" x14ac:dyDescent="0.25">
      <c r="A62">
        <v>61</v>
      </c>
      <c r="B62" t="s">
        <v>1239</v>
      </c>
      <c r="C62" t="s">
        <v>1240</v>
      </c>
      <c r="D62" t="s">
        <v>1241</v>
      </c>
      <c r="E62" t="s">
        <v>1183</v>
      </c>
      <c r="F62">
        <v>2</v>
      </c>
      <c r="G62">
        <v>68</v>
      </c>
      <c r="H62">
        <v>343</v>
      </c>
      <c r="I62">
        <v>1934180</v>
      </c>
    </row>
    <row r="63" spans="1:9" x14ac:dyDescent="0.25">
      <c r="A63">
        <v>62</v>
      </c>
      <c r="B63" t="s">
        <v>1284</v>
      </c>
      <c r="C63" t="s">
        <v>1285</v>
      </c>
      <c r="D63" t="s">
        <v>1286</v>
      </c>
      <c r="E63" t="s">
        <v>1237</v>
      </c>
      <c r="F63">
        <v>22</v>
      </c>
      <c r="G63">
        <v>74</v>
      </c>
      <c r="H63">
        <v>54</v>
      </c>
      <c r="I63">
        <v>1931375</v>
      </c>
    </row>
    <row r="64" spans="1:9" x14ac:dyDescent="0.25">
      <c r="A64">
        <v>63</v>
      </c>
      <c r="B64" t="s">
        <v>1158</v>
      </c>
      <c r="C64" t="s">
        <v>1159</v>
      </c>
      <c r="D64" t="s">
        <v>1160</v>
      </c>
      <c r="E64" t="s">
        <v>1161</v>
      </c>
      <c r="F64">
        <v>1</v>
      </c>
      <c r="G64">
        <v>56</v>
      </c>
      <c r="H64">
        <v>243</v>
      </c>
      <c r="I64">
        <v>1929512</v>
      </c>
    </row>
    <row r="65" spans="1:9" x14ac:dyDescent="0.25">
      <c r="A65">
        <v>64</v>
      </c>
      <c r="B65" t="s">
        <v>1189</v>
      </c>
      <c r="C65" t="s">
        <v>1190</v>
      </c>
      <c r="D65" t="s">
        <v>1191</v>
      </c>
      <c r="E65" t="s">
        <v>1192</v>
      </c>
      <c r="F65">
        <v>3</v>
      </c>
      <c r="G65">
        <v>63</v>
      </c>
      <c r="H65">
        <v>322</v>
      </c>
      <c r="I65">
        <v>1927488</v>
      </c>
    </row>
    <row r="66" spans="1:9" x14ac:dyDescent="0.25">
      <c r="A66">
        <v>65</v>
      </c>
      <c r="B66" t="s">
        <v>1169</v>
      </c>
      <c r="C66" t="s">
        <v>1159</v>
      </c>
      <c r="D66" t="s">
        <v>1170</v>
      </c>
      <c r="E66" t="s">
        <v>1161</v>
      </c>
      <c r="F66">
        <v>3</v>
      </c>
      <c r="G66">
        <v>64</v>
      </c>
      <c r="H66">
        <v>243</v>
      </c>
      <c r="I66">
        <v>1919615</v>
      </c>
    </row>
    <row r="67" spans="1:9" x14ac:dyDescent="0.25">
      <c r="A67">
        <v>66</v>
      </c>
      <c r="B67" t="s">
        <v>1174</v>
      </c>
      <c r="C67" t="s">
        <v>496</v>
      </c>
      <c r="D67" t="s">
        <v>1175</v>
      </c>
      <c r="E67" t="s">
        <v>1133</v>
      </c>
      <c r="F67">
        <v>1</v>
      </c>
      <c r="G67">
        <v>57</v>
      </c>
      <c r="H67">
        <v>511</v>
      </c>
      <c r="I67">
        <v>1911622</v>
      </c>
    </row>
    <row r="68" spans="1:9" x14ac:dyDescent="0.25">
      <c r="A68">
        <v>67</v>
      </c>
      <c r="B68" t="s">
        <v>1176</v>
      </c>
      <c r="C68" t="s">
        <v>1177</v>
      </c>
      <c r="D68" t="s">
        <v>1178</v>
      </c>
      <c r="E68" t="s">
        <v>1179</v>
      </c>
      <c r="F68">
        <v>13</v>
      </c>
      <c r="G68">
        <v>67</v>
      </c>
      <c r="H68">
        <v>119</v>
      </c>
      <c r="I68">
        <v>1905920</v>
      </c>
    </row>
    <row r="69" spans="1:9" x14ac:dyDescent="0.25">
      <c r="A69">
        <v>68</v>
      </c>
      <c r="B69" t="s">
        <v>1137</v>
      </c>
      <c r="C69" t="s">
        <v>1138</v>
      </c>
      <c r="D69" t="s">
        <v>1139</v>
      </c>
      <c r="E69" t="s">
        <v>1140</v>
      </c>
      <c r="F69">
        <v>4</v>
      </c>
      <c r="G69">
        <v>75</v>
      </c>
      <c r="H69">
        <v>51</v>
      </c>
      <c r="I69">
        <v>1900237</v>
      </c>
    </row>
    <row r="70" spans="1:9" x14ac:dyDescent="0.25">
      <c r="A70">
        <v>69</v>
      </c>
      <c r="B70" t="s">
        <v>1153</v>
      </c>
      <c r="C70" t="s">
        <v>1154</v>
      </c>
      <c r="D70" t="s">
        <v>1155</v>
      </c>
      <c r="E70" t="s">
        <v>1124</v>
      </c>
      <c r="F70">
        <v>28</v>
      </c>
      <c r="G70">
        <v>45</v>
      </c>
      <c r="H70">
        <v>65</v>
      </c>
      <c r="I70">
        <v>1900057</v>
      </c>
    </row>
    <row r="71" spans="1:9" x14ac:dyDescent="0.25">
      <c r="A71">
        <v>70</v>
      </c>
      <c r="B71" t="s">
        <v>1281</v>
      </c>
      <c r="C71" t="s">
        <v>1282</v>
      </c>
      <c r="D71" t="s">
        <v>1283</v>
      </c>
      <c r="E71" t="s">
        <v>957</v>
      </c>
      <c r="F71">
        <v>32</v>
      </c>
      <c r="G71">
        <v>61</v>
      </c>
      <c r="H71">
        <v>300</v>
      </c>
      <c r="I71">
        <v>1893530</v>
      </c>
    </row>
    <row r="72" spans="1:9" x14ac:dyDescent="0.25">
      <c r="A72">
        <v>71</v>
      </c>
      <c r="B72" t="s">
        <v>1215</v>
      </c>
      <c r="C72" t="s">
        <v>1216</v>
      </c>
      <c r="D72" t="s">
        <v>1217</v>
      </c>
      <c r="E72" t="s">
        <v>1218</v>
      </c>
      <c r="F72">
        <v>2</v>
      </c>
      <c r="G72">
        <v>73</v>
      </c>
      <c r="H72">
        <v>819</v>
      </c>
      <c r="I72">
        <v>1832875</v>
      </c>
    </row>
    <row r="73" spans="1:9" x14ac:dyDescent="0.25">
      <c r="A73">
        <v>72</v>
      </c>
      <c r="B73" t="s">
        <v>1223</v>
      </c>
      <c r="C73" t="s">
        <v>620</v>
      </c>
      <c r="D73" t="s">
        <v>1224</v>
      </c>
      <c r="E73" t="s">
        <v>1117</v>
      </c>
      <c r="F73">
        <v>7</v>
      </c>
      <c r="G73">
        <v>76</v>
      </c>
      <c r="H73">
        <v>56</v>
      </c>
      <c r="I73">
        <v>1825419</v>
      </c>
    </row>
    <row r="74" spans="1:9" x14ac:dyDescent="0.25">
      <c r="A74">
        <v>73</v>
      </c>
      <c r="B74" t="s">
        <v>1256</v>
      </c>
      <c r="C74" t="s">
        <v>697</v>
      </c>
      <c r="D74" t="s">
        <v>1257</v>
      </c>
      <c r="E74" t="s">
        <v>1015</v>
      </c>
      <c r="F74">
        <v>1</v>
      </c>
      <c r="G74">
        <v>71</v>
      </c>
      <c r="H74">
        <v>546</v>
      </c>
      <c r="I74">
        <v>1823344</v>
      </c>
    </row>
    <row r="75" spans="1:9" x14ac:dyDescent="0.25">
      <c r="A75">
        <v>74</v>
      </c>
      <c r="B75" t="s">
        <v>4307</v>
      </c>
      <c r="C75" t="s">
        <v>496</v>
      </c>
      <c r="D75" t="s">
        <v>4247</v>
      </c>
      <c r="E75" t="s">
        <v>1133</v>
      </c>
      <c r="F75">
        <v>16</v>
      </c>
      <c r="G75">
        <v>65</v>
      </c>
      <c r="H75">
        <v>7</v>
      </c>
      <c r="I75">
        <v>1817037</v>
      </c>
    </row>
    <row r="76" spans="1:9" x14ac:dyDescent="0.25">
      <c r="A76">
        <v>75</v>
      </c>
      <c r="B76" t="s">
        <v>1300</v>
      </c>
      <c r="C76" t="s">
        <v>1301</v>
      </c>
      <c r="D76" t="s">
        <v>1302</v>
      </c>
      <c r="E76" t="s">
        <v>1303</v>
      </c>
      <c r="F76">
        <v>5</v>
      </c>
      <c r="G76">
        <v>70</v>
      </c>
      <c r="H76">
        <v>182</v>
      </c>
      <c r="I76">
        <v>1783131</v>
      </c>
    </row>
    <row r="77" spans="1:9" x14ac:dyDescent="0.25">
      <c r="A77">
        <v>76</v>
      </c>
      <c r="B77" t="s">
        <v>328</v>
      </c>
      <c r="C77" t="s">
        <v>329</v>
      </c>
      <c r="D77" t="s">
        <v>330</v>
      </c>
      <c r="E77" t="s">
        <v>268</v>
      </c>
      <c r="F77">
        <v>7</v>
      </c>
      <c r="G77">
        <v>82</v>
      </c>
      <c r="H77">
        <v>818</v>
      </c>
      <c r="I77">
        <v>1763707</v>
      </c>
    </row>
    <row r="78" spans="1:9" x14ac:dyDescent="0.25">
      <c r="A78">
        <v>77</v>
      </c>
      <c r="B78" t="s">
        <v>1165</v>
      </c>
      <c r="C78" t="s">
        <v>1166</v>
      </c>
      <c r="D78" t="s">
        <v>1167</v>
      </c>
      <c r="E78" t="s">
        <v>1168</v>
      </c>
      <c r="F78">
        <v>30</v>
      </c>
      <c r="G78">
        <v>79</v>
      </c>
      <c r="H78">
        <v>35</v>
      </c>
      <c r="I78">
        <v>1760846</v>
      </c>
    </row>
    <row r="79" spans="1:9" x14ac:dyDescent="0.25">
      <c r="A79">
        <v>78</v>
      </c>
      <c r="B79" t="s">
        <v>4314</v>
      </c>
      <c r="C79" t="s">
        <v>1197</v>
      </c>
      <c r="D79" t="s">
        <v>1198</v>
      </c>
      <c r="E79" t="s">
        <v>1199</v>
      </c>
      <c r="F79">
        <v>37</v>
      </c>
      <c r="G79">
        <v>87</v>
      </c>
      <c r="H79">
        <v>36</v>
      </c>
      <c r="I79">
        <v>1745609</v>
      </c>
    </row>
    <row r="80" spans="1:9" x14ac:dyDescent="0.25">
      <c r="A80">
        <v>79</v>
      </c>
      <c r="B80" t="s">
        <v>1193</v>
      </c>
      <c r="C80" t="s">
        <v>1194</v>
      </c>
      <c r="D80" t="s">
        <v>1195</v>
      </c>
      <c r="E80" t="s">
        <v>1196</v>
      </c>
      <c r="F80">
        <v>41</v>
      </c>
      <c r="G80">
        <v>80</v>
      </c>
      <c r="H80">
        <v>73</v>
      </c>
      <c r="I80">
        <v>1743998</v>
      </c>
    </row>
    <row r="81" spans="1:9" x14ac:dyDescent="0.25">
      <c r="A81">
        <v>80</v>
      </c>
      <c r="B81" t="s">
        <v>1332</v>
      </c>
      <c r="C81" t="s">
        <v>495</v>
      </c>
      <c r="D81">
        <v>505</v>
      </c>
      <c r="E81" t="s">
        <v>1214</v>
      </c>
      <c r="F81">
        <v>40</v>
      </c>
      <c r="G81">
        <v>86</v>
      </c>
      <c r="H81">
        <v>1341</v>
      </c>
      <c r="I81">
        <v>1738104</v>
      </c>
    </row>
    <row r="82" spans="1:9" x14ac:dyDescent="0.25">
      <c r="A82">
        <v>81</v>
      </c>
      <c r="B82" t="s">
        <v>1312</v>
      </c>
      <c r="C82" t="s">
        <v>1201</v>
      </c>
      <c r="D82" t="s">
        <v>1313</v>
      </c>
      <c r="E82" t="s">
        <v>1203</v>
      </c>
      <c r="F82">
        <v>69</v>
      </c>
      <c r="G82">
        <v>72</v>
      </c>
      <c r="H82">
        <v>72</v>
      </c>
      <c r="I82">
        <v>1731421</v>
      </c>
    </row>
    <row r="83" spans="1:9" x14ac:dyDescent="0.25">
      <c r="A83">
        <v>82</v>
      </c>
      <c r="B83" t="s">
        <v>1384</v>
      </c>
      <c r="C83" t="s">
        <v>107</v>
      </c>
      <c r="D83" t="s">
        <v>1385</v>
      </c>
      <c r="E83" t="s">
        <v>109</v>
      </c>
      <c r="F83">
        <v>6</v>
      </c>
      <c r="G83">
        <v>84</v>
      </c>
      <c r="H83">
        <v>49</v>
      </c>
      <c r="I83">
        <v>1712580</v>
      </c>
    </row>
    <row r="84" spans="1:9" x14ac:dyDescent="0.25">
      <c r="A84">
        <v>83</v>
      </c>
      <c r="B84" t="s">
        <v>1242</v>
      </c>
      <c r="C84" t="s">
        <v>912</v>
      </c>
      <c r="D84" t="s">
        <v>1243</v>
      </c>
      <c r="E84" t="s">
        <v>914</v>
      </c>
      <c r="F84">
        <v>5</v>
      </c>
      <c r="G84">
        <v>83</v>
      </c>
      <c r="H84">
        <v>514</v>
      </c>
      <c r="I84">
        <v>1709008</v>
      </c>
    </row>
    <row r="85" spans="1:9" x14ac:dyDescent="0.25">
      <c r="A85">
        <v>84</v>
      </c>
      <c r="B85" t="s">
        <v>1304</v>
      </c>
      <c r="C85" t="s">
        <v>1305</v>
      </c>
      <c r="D85" t="s">
        <v>1306</v>
      </c>
      <c r="E85" t="s">
        <v>1307</v>
      </c>
      <c r="F85">
        <v>1</v>
      </c>
      <c r="G85">
        <v>95</v>
      </c>
      <c r="H85">
        <v>1796</v>
      </c>
      <c r="I85">
        <v>1694446</v>
      </c>
    </row>
    <row r="86" spans="1:9" x14ac:dyDescent="0.25">
      <c r="A86">
        <v>85</v>
      </c>
      <c r="B86" t="s">
        <v>1274</v>
      </c>
      <c r="C86" t="s">
        <v>1216</v>
      </c>
      <c r="D86" t="s">
        <v>1275</v>
      </c>
      <c r="E86" t="s">
        <v>1276</v>
      </c>
      <c r="F86">
        <v>2</v>
      </c>
      <c r="G86">
        <v>88</v>
      </c>
      <c r="H86">
        <v>287</v>
      </c>
      <c r="I86">
        <v>1686250</v>
      </c>
    </row>
    <row r="87" spans="1:9" x14ac:dyDescent="0.25">
      <c r="A87">
        <v>86</v>
      </c>
      <c r="B87" t="s">
        <v>1258</v>
      </c>
      <c r="C87" t="s">
        <v>1259</v>
      </c>
      <c r="D87" t="s">
        <v>1260</v>
      </c>
      <c r="E87" t="s">
        <v>303</v>
      </c>
      <c r="F87">
        <v>1</v>
      </c>
      <c r="G87">
        <v>111</v>
      </c>
      <c r="H87">
        <v>783</v>
      </c>
      <c r="I87">
        <v>1672543</v>
      </c>
    </row>
    <row r="88" spans="1:9" x14ac:dyDescent="0.25">
      <c r="A88">
        <v>87</v>
      </c>
      <c r="B88" t="s">
        <v>1339</v>
      </c>
      <c r="C88" t="s">
        <v>511</v>
      </c>
      <c r="D88" t="s">
        <v>1340</v>
      </c>
      <c r="E88" t="s">
        <v>1341</v>
      </c>
      <c r="F88">
        <v>63</v>
      </c>
      <c r="G88">
        <v>81</v>
      </c>
      <c r="H88">
        <v>526</v>
      </c>
      <c r="I88">
        <v>1669837</v>
      </c>
    </row>
    <row r="89" spans="1:9" x14ac:dyDescent="0.25">
      <c r="A89">
        <v>88</v>
      </c>
      <c r="B89" t="s">
        <v>1234</v>
      </c>
      <c r="C89" t="s">
        <v>1235</v>
      </c>
      <c r="D89" t="s">
        <v>1236</v>
      </c>
      <c r="E89" t="s">
        <v>1237</v>
      </c>
      <c r="F89">
        <v>42</v>
      </c>
      <c r="G89">
        <v>94</v>
      </c>
      <c r="H89">
        <v>74</v>
      </c>
      <c r="I89">
        <v>1665956</v>
      </c>
    </row>
    <row r="90" spans="1:9" x14ac:dyDescent="0.25">
      <c r="A90">
        <v>89</v>
      </c>
      <c r="B90" t="s">
        <v>1246</v>
      </c>
      <c r="C90" t="s">
        <v>335</v>
      </c>
      <c r="D90" t="s">
        <v>1247</v>
      </c>
      <c r="E90" t="s">
        <v>337</v>
      </c>
      <c r="F90">
        <v>23</v>
      </c>
      <c r="G90">
        <v>78</v>
      </c>
      <c r="H90">
        <v>133</v>
      </c>
      <c r="I90">
        <v>1663486</v>
      </c>
    </row>
    <row r="91" spans="1:9" x14ac:dyDescent="0.25">
      <c r="A91">
        <v>90</v>
      </c>
      <c r="B91" t="s">
        <v>1451</v>
      </c>
      <c r="C91" t="s">
        <v>1452</v>
      </c>
      <c r="D91" t="s">
        <v>1453</v>
      </c>
      <c r="E91" t="s">
        <v>341</v>
      </c>
      <c r="F91">
        <v>13</v>
      </c>
      <c r="G91">
        <v>77</v>
      </c>
      <c r="H91">
        <v>915</v>
      </c>
      <c r="I91">
        <v>1651108</v>
      </c>
    </row>
    <row r="92" spans="1:9" x14ac:dyDescent="0.25">
      <c r="A92">
        <v>91</v>
      </c>
      <c r="B92" t="s">
        <v>1292</v>
      </c>
      <c r="C92" t="s">
        <v>503</v>
      </c>
      <c r="D92" t="s">
        <v>1293</v>
      </c>
      <c r="E92" t="s">
        <v>505</v>
      </c>
      <c r="F92">
        <v>35</v>
      </c>
      <c r="G92">
        <v>90</v>
      </c>
      <c r="H92">
        <v>126</v>
      </c>
      <c r="I92">
        <v>1620525</v>
      </c>
    </row>
    <row r="93" spans="1:9" x14ac:dyDescent="0.25">
      <c r="A93">
        <v>92</v>
      </c>
      <c r="B93" t="s">
        <v>1342</v>
      </c>
      <c r="C93" t="s">
        <v>573</v>
      </c>
      <c r="D93" t="s">
        <v>1343</v>
      </c>
      <c r="E93" t="s">
        <v>573</v>
      </c>
      <c r="F93">
        <v>4</v>
      </c>
      <c r="G93">
        <v>89</v>
      </c>
      <c r="H93">
        <v>524</v>
      </c>
      <c r="I93">
        <v>1614413</v>
      </c>
    </row>
    <row r="94" spans="1:9" x14ac:dyDescent="0.25">
      <c r="A94">
        <v>93</v>
      </c>
      <c r="B94" t="s">
        <v>1228</v>
      </c>
      <c r="C94" t="s">
        <v>912</v>
      </c>
      <c r="D94" t="s">
        <v>1229</v>
      </c>
      <c r="E94" t="s">
        <v>914</v>
      </c>
      <c r="F94">
        <v>18</v>
      </c>
      <c r="G94">
        <v>92</v>
      </c>
      <c r="H94">
        <v>384</v>
      </c>
      <c r="I94">
        <v>1611379</v>
      </c>
    </row>
    <row r="95" spans="1:9" x14ac:dyDescent="0.25">
      <c r="A95">
        <v>94</v>
      </c>
      <c r="B95" t="s">
        <v>1361</v>
      </c>
      <c r="C95" t="s">
        <v>1362</v>
      </c>
      <c r="D95" t="s">
        <v>1363</v>
      </c>
      <c r="E95" t="s">
        <v>1364</v>
      </c>
      <c r="F95">
        <v>52</v>
      </c>
      <c r="G95">
        <v>98</v>
      </c>
      <c r="H95">
        <v>1121</v>
      </c>
      <c r="I95">
        <v>1609312</v>
      </c>
    </row>
    <row r="96" spans="1:9" x14ac:dyDescent="0.25">
      <c r="A96">
        <v>95</v>
      </c>
      <c r="B96" t="s">
        <v>1248</v>
      </c>
      <c r="C96" t="s">
        <v>1249</v>
      </c>
      <c r="D96" t="s">
        <v>1250</v>
      </c>
      <c r="E96" t="s">
        <v>1251</v>
      </c>
      <c r="F96">
        <v>17</v>
      </c>
      <c r="G96">
        <v>97</v>
      </c>
      <c r="H96">
        <v>184</v>
      </c>
      <c r="I96">
        <v>1604733</v>
      </c>
    </row>
    <row r="97" spans="1:9" x14ac:dyDescent="0.25">
      <c r="A97">
        <v>96</v>
      </c>
      <c r="B97" t="s">
        <v>3833</v>
      </c>
      <c r="C97" t="s">
        <v>573</v>
      </c>
      <c r="D97" t="s">
        <v>3834</v>
      </c>
      <c r="E97" t="s">
        <v>573</v>
      </c>
      <c r="F97">
        <v>1</v>
      </c>
      <c r="G97">
        <v>85</v>
      </c>
      <c r="H97">
        <v>522</v>
      </c>
      <c r="I97">
        <v>1600889</v>
      </c>
    </row>
    <row r="98" spans="1:9" x14ac:dyDescent="0.25">
      <c r="A98">
        <v>97</v>
      </c>
      <c r="B98" t="s">
        <v>1422</v>
      </c>
      <c r="C98" t="s">
        <v>1423</v>
      </c>
      <c r="D98" t="s">
        <v>1424</v>
      </c>
      <c r="E98" t="s">
        <v>1425</v>
      </c>
      <c r="F98">
        <v>82</v>
      </c>
      <c r="G98">
        <v>105</v>
      </c>
      <c r="H98">
        <v>129</v>
      </c>
      <c r="I98">
        <v>1599056</v>
      </c>
    </row>
    <row r="99" spans="1:9" x14ac:dyDescent="0.25">
      <c r="A99">
        <v>98</v>
      </c>
      <c r="B99" t="s">
        <v>1468</v>
      </c>
      <c r="C99" t="s">
        <v>1469</v>
      </c>
      <c r="D99" t="s">
        <v>1470</v>
      </c>
      <c r="E99" t="s">
        <v>1203</v>
      </c>
      <c r="F99">
        <v>47</v>
      </c>
      <c r="G99">
        <v>93</v>
      </c>
      <c r="H99">
        <v>246</v>
      </c>
      <c r="I99">
        <v>1596974</v>
      </c>
    </row>
    <row r="100" spans="1:9" x14ac:dyDescent="0.25">
      <c r="A100">
        <v>99</v>
      </c>
      <c r="B100" t="s">
        <v>1294</v>
      </c>
      <c r="C100" t="s">
        <v>511</v>
      </c>
      <c r="D100" t="s">
        <v>1295</v>
      </c>
      <c r="E100" t="s">
        <v>1164</v>
      </c>
      <c r="F100">
        <v>27</v>
      </c>
      <c r="G100">
        <v>106</v>
      </c>
      <c r="H100">
        <v>1104</v>
      </c>
      <c r="I100">
        <v>1594931</v>
      </c>
    </row>
    <row r="101" spans="1:9" x14ac:dyDescent="0.25">
      <c r="A101">
        <v>100</v>
      </c>
      <c r="B101" t="s">
        <v>1352</v>
      </c>
      <c r="C101" t="s">
        <v>1353</v>
      </c>
      <c r="D101" t="s">
        <v>1354</v>
      </c>
      <c r="E101" t="s">
        <v>109</v>
      </c>
      <c r="F101">
        <v>28</v>
      </c>
      <c r="G101">
        <v>99</v>
      </c>
      <c r="H101">
        <v>1666</v>
      </c>
      <c r="I101">
        <v>1586637</v>
      </c>
    </row>
    <row r="102" spans="1:9" x14ac:dyDescent="0.25">
      <c r="A102">
        <v>101</v>
      </c>
      <c r="B102" t="s">
        <v>1330</v>
      </c>
      <c r="C102" t="s">
        <v>628</v>
      </c>
      <c r="D102" t="s">
        <v>1331</v>
      </c>
      <c r="E102" t="s">
        <v>1015</v>
      </c>
      <c r="F102">
        <v>1</v>
      </c>
      <c r="G102">
        <v>109</v>
      </c>
      <c r="H102">
        <v>2105</v>
      </c>
      <c r="I102">
        <v>1585109</v>
      </c>
    </row>
    <row r="103" spans="1:9" x14ac:dyDescent="0.25">
      <c r="A103">
        <v>102</v>
      </c>
      <c r="B103" t="s">
        <v>1252</v>
      </c>
      <c r="C103" t="s">
        <v>1253</v>
      </c>
      <c r="D103" t="s">
        <v>1254</v>
      </c>
      <c r="E103" t="s">
        <v>1255</v>
      </c>
      <c r="F103">
        <v>8</v>
      </c>
      <c r="G103">
        <v>101</v>
      </c>
      <c r="H103">
        <v>276</v>
      </c>
      <c r="I103">
        <v>1560064</v>
      </c>
    </row>
    <row r="104" spans="1:9" x14ac:dyDescent="0.25">
      <c r="A104">
        <v>103</v>
      </c>
      <c r="B104" t="s">
        <v>4672</v>
      </c>
      <c r="C104" t="s">
        <v>641</v>
      </c>
      <c r="D104" t="s">
        <v>4626</v>
      </c>
      <c r="E104" t="s">
        <v>232</v>
      </c>
      <c r="F104">
        <v>96</v>
      </c>
      <c r="G104">
        <v>96</v>
      </c>
      <c r="H104">
        <v>2</v>
      </c>
      <c r="I104">
        <v>1548726</v>
      </c>
    </row>
    <row r="105" spans="1:9" x14ac:dyDescent="0.25">
      <c r="A105">
        <v>104</v>
      </c>
      <c r="B105" t="s">
        <v>1058</v>
      </c>
      <c r="C105" t="s">
        <v>1059</v>
      </c>
      <c r="D105" t="s">
        <v>1060</v>
      </c>
      <c r="E105" t="s">
        <v>1061</v>
      </c>
      <c r="F105">
        <v>14</v>
      </c>
      <c r="G105">
        <v>91</v>
      </c>
      <c r="H105">
        <v>14</v>
      </c>
      <c r="I105">
        <v>1540901</v>
      </c>
    </row>
    <row r="106" spans="1:9" x14ac:dyDescent="0.25">
      <c r="A106">
        <v>105</v>
      </c>
      <c r="B106" t="s">
        <v>1244</v>
      </c>
      <c r="C106" t="s">
        <v>1159</v>
      </c>
      <c r="D106" t="s">
        <v>1245</v>
      </c>
      <c r="E106" t="s">
        <v>1161</v>
      </c>
      <c r="F106">
        <v>5</v>
      </c>
      <c r="G106">
        <v>100</v>
      </c>
      <c r="H106">
        <v>243</v>
      </c>
      <c r="I106">
        <v>1540128</v>
      </c>
    </row>
    <row r="107" spans="1:9" x14ac:dyDescent="0.25">
      <c r="A107">
        <v>106</v>
      </c>
      <c r="B107" t="s">
        <v>1261</v>
      </c>
      <c r="C107" t="s">
        <v>1262</v>
      </c>
      <c r="D107" t="s">
        <v>1263</v>
      </c>
      <c r="E107" t="s">
        <v>1264</v>
      </c>
      <c r="F107">
        <v>34</v>
      </c>
      <c r="G107">
        <v>110</v>
      </c>
      <c r="H107">
        <v>257</v>
      </c>
      <c r="I107">
        <v>1524118</v>
      </c>
    </row>
    <row r="108" spans="1:9" x14ac:dyDescent="0.25">
      <c r="A108">
        <v>107</v>
      </c>
      <c r="B108" t="s">
        <v>1333</v>
      </c>
      <c r="C108" t="s">
        <v>1334</v>
      </c>
      <c r="D108" t="s">
        <v>1335</v>
      </c>
      <c r="E108" t="s">
        <v>1336</v>
      </c>
      <c r="F108">
        <v>11</v>
      </c>
      <c r="G108">
        <v>107</v>
      </c>
      <c r="H108">
        <v>1602</v>
      </c>
      <c r="I108">
        <v>1509263</v>
      </c>
    </row>
    <row r="109" spans="1:9" x14ac:dyDescent="0.25">
      <c r="A109">
        <v>108</v>
      </c>
      <c r="B109" t="s">
        <v>1204</v>
      </c>
      <c r="C109" t="s">
        <v>1205</v>
      </c>
      <c r="D109" t="s">
        <v>1206</v>
      </c>
      <c r="E109" t="s">
        <v>1207</v>
      </c>
      <c r="F109">
        <v>17</v>
      </c>
      <c r="G109">
        <v>108</v>
      </c>
      <c r="H109">
        <v>808</v>
      </c>
      <c r="I109">
        <v>1496815</v>
      </c>
    </row>
    <row r="110" spans="1:9" x14ac:dyDescent="0.25">
      <c r="A110">
        <v>109</v>
      </c>
      <c r="B110" t="s">
        <v>1401</v>
      </c>
      <c r="C110" t="s">
        <v>1402</v>
      </c>
      <c r="D110" t="s">
        <v>1403</v>
      </c>
      <c r="E110" t="s">
        <v>1404</v>
      </c>
      <c r="F110">
        <v>100</v>
      </c>
      <c r="G110">
        <v>102</v>
      </c>
      <c r="H110">
        <v>35</v>
      </c>
      <c r="I110">
        <v>1487547</v>
      </c>
    </row>
    <row r="111" spans="1:9" x14ac:dyDescent="0.25">
      <c r="A111">
        <v>110</v>
      </c>
      <c r="B111" t="s">
        <v>1495</v>
      </c>
      <c r="C111" t="s">
        <v>1377</v>
      </c>
      <c r="D111" t="s">
        <v>1496</v>
      </c>
      <c r="E111" t="s">
        <v>1379</v>
      </c>
      <c r="F111">
        <v>14</v>
      </c>
      <c r="G111">
        <v>104</v>
      </c>
      <c r="H111">
        <v>224</v>
      </c>
      <c r="I111">
        <v>1484997</v>
      </c>
    </row>
    <row r="112" spans="1:9" x14ac:dyDescent="0.25">
      <c r="A112">
        <v>111</v>
      </c>
      <c r="B112" t="s">
        <v>9</v>
      </c>
      <c r="C112" t="s">
        <v>10</v>
      </c>
      <c r="D112" t="s">
        <v>11</v>
      </c>
      <c r="E112" t="s">
        <v>12</v>
      </c>
      <c r="F112">
        <v>32</v>
      </c>
      <c r="G112">
        <v>137</v>
      </c>
      <c r="H112">
        <v>59</v>
      </c>
      <c r="I112">
        <v>1482162</v>
      </c>
    </row>
    <row r="113" spans="1:9" x14ac:dyDescent="0.25">
      <c r="A113">
        <v>112</v>
      </c>
      <c r="B113" t="s">
        <v>1344</v>
      </c>
      <c r="C113" t="s">
        <v>1345</v>
      </c>
      <c r="D113" t="s">
        <v>526</v>
      </c>
      <c r="E113" t="s">
        <v>1346</v>
      </c>
      <c r="F113">
        <v>23</v>
      </c>
      <c r="G113">
        <v>127</v>
      </c>
      <c r="H113">
        <v>202</v>
      </c>
      <c r="I113">
        <v>1481475</v>
      </c>
    </row>
    <row r="114" spans="1:9" x14ac:dyDescent="0.25">
      <c r="A114">
        <v>113</v>
      </c>
      <c r="B114" t="s">
        <v>1394</v>
      </c>
      <c r="C114" t="s">
        <v>1395</v>
      </c>
      <c r="D114" t="s">
        <v>1396</v>
      </c>
      <c r="E114" t="s">
        <v>1255</v>
      </c>
      <c r="F114">
        <v>63</v>
      </c>
      <c r="G114">
        <v>103</v>
      </c>
      <c r="H114">
        <v>997</v>
      </c>
      <c r="I114">
        <v>1469491</v>
      </c>
    </row>
    <row r="115" spans="1:9" x14ac:dyDescent="0.25">
      <c r="A115">
        <v>114</v>
      </c>
      <c r="B115" t="s">
        <v>1347</v>
      </c>
      <c r="C115" t="s">
        <v>573</v>
      </c>
      <c r="D115" t="s">
        <v>1348</v>
      </c>
      <c r="E115" t="s">
        <v>573</v>
      </c>
      <c r="F115">
        <v>2</v>
      </c>
      <c r="G115">
        <v>116</v>
      </c>
      <c r="H115">
        <v>941</v>
      </c>
      <c r="I115">
        <v>1466875</v>
      </c>
    </row>
    <row r="116" spans="1:9" x14ac:dyDescent="0.25">
      <c r="A116">
        <v>115</v>
      </c>
      <c r="B116" t="s">
        <v>1314</v>
      </c>
      <c r="C116" t="s">
        <v>1159</v>
      </c>
      <c r="D116" t="s">
        <v>1315</v>
      </c>
      <c r="E116" t="s">
        <v>1161</v>
      </c>
      <c r="F116">
        <v>9</v>
      </c>
      <c r="G116">
        <v>118</v>
      </c>
      <c r="H116">
        <v>243</v>
      </c>
      <c r="I116">
        <v>1462510</v>
      </c>
    </row>
    <row r="117" spans="1:9" x14ac:dyDescent="0.25">
      <c r="A117">
        <v>116</v>
      </c>
      <c r="B117" t="s">
        <v>1446</v>
      </c>
      <c r="C117" t="s">
        <v>1447</v>
      </c>
      <c r="D117" t="s">
        <v>1448</v>
      </c>
      <c r="E117" t="s">
        <v>1124</v>
      </c>
      <c r="F117">
        <v>47</v>
      </c>
      <c r="G117">
        <v>112</v>
      </c>
      <c r="H117">
        <v>84</v>
      </c>
      <c r="I117">
        <v>1458628</v>
      </c>
    </row>
    <row r="118" spans="1:9" x14ac:dyDescent="0.25">
      <c r="A118">
        <v>117</v>
      </c>
      <c r="B118" t="s">
        <v>1355</v>
      </c>
      <c r="C118" t="s">
        <v>863</v>
      </c>
      <c r="D118" t="s">
        <v>1356</v>
      </c>
      <c r="E118" t="s">
        <v>1329</v>
      </c>
      <c r="F118">
        <v>3</v>
      </c>
      <c r="G118">
        <v>119</v>
      </c>
      <c r="H118">
        <v>2878</v>
      </c>
      <c r="I118">
        <v>1458521</v>
      </c>
    </row>
    <row r="119" spans="1:9" x14ac:dyDescent="0.25">
      <c r="A119">
        <v>118</v>
      </c>
      <c r="B119" t="s">
        <v>1405</v>
      </c>
      <c r="C119" t="s">
        <v>635</v>
      </c>
      <c r="D119" t="s">
        <v>1406</v>
      </c>
      <c r="E119" t="s">
        <v>1407</v>
      </c>
      <c r="F119">
        <v>27</v>
      </c>
      <c r="G119">
        <v>120</v>
      </c>
      <c r="H119">
        <v>953</v>
      </c>
      <c r="I119">
        <v>1457112</v>
      </c>
    </row>
    <row r="120" spans="1:9" x14ac:dyDescent="0.25">
      <c r="A120">
        <v>119</v>
      </c>
      <c r="B120" t="s">
        <v>1412</v>
      </c>
      <c r="C120" t="s">
        <v>1413</v>
      </c>
      <c r="D120" t="s">
        <v>1414</v>
      </c>
      <c r="E120" t="s">
        <v>1415</v>
      </c>
      <c r="F120">
        <v>117</v>
      </c>
      <c r="G120">
        <v>117</v>
      </c>
      <c r="H120">
        <v>29</v>
      </c>
      <c r="I120">
        <v>1450477</v>
      </c>
    </row>
    <row r="121" spans="1:9" x14ac:dyDescent="0.25">
      <c r="A121">
        <v>120</v>
      </c>
      <c r="B121" t="s">
        <v>1290</v>
      </c>
      <c r="C121" t="s">
        <v>1194</v>
      </c>
      <c r="D121" t="s">
        <v>1291</v>
      </c>
      <c r="E121" t="s">
        <v>1196</v>
      </c>
      <c r="F121">
        <v>74</v>
      </c>
      <c r="G121">
        <v>115</v>
      </c>
      <c r="H121">
        <v>68</v>
      </c>
      <c r="I121">
        <v>1445612</v>
      </c>
    </row>
    <row r="122" spans="1:9" x14ac:dyDescent="0.25">
      <c r="A122">
        <v>121</v>
      </c>
      <c r="B122" t="s">
        <v>4520</v>
      </c>
      <c r="C122" t="s">
        <v>4521</v>
      </c>
      <c r="D122" t="s">
        <v>4522</v>
      </c>
      <c r="E122" t="s">
        <v>2172</v>
      </c>
      <c r="F122">
        <v>13</v>
      </c>
      <c r="G122">
        <v>114</v>
      </c>
      <c r="H122">
        <v>264</v>
      </c>
      <c r="I122">
        <v>1433757</v>
      </c>
    </row>
    <row r="123" spans="1:9" x14ac:dyDescent="0.25">
      <c r="A123">
        <v>122</v>
      </c>
      <c r="B123" t="s">
        <v>1478</v>
      </c>
      <c r="C123" t="s">
        <v>329</v>
      </c>
      <c r="D123" t="s">
        <v>1479</v>
      </c>
      <c r="E123" t="s">
        <v>268</v>
      </c>
      <c r="F123">
        <v>12</v>
      </c>
      <c r="G123">
        <v>126</v>
      </c>
      <c r="H123">
        <v>539</v>
      </c>
      <c r="I123">
        <v>1421535</v>
      </c>
    </row>
    <row r="124" spans="1:9" x14ac:dyDescent="0.25">
      <c r="A124">
        <v>123</v>
      </c>
      <c r="B124" t="s">
        <v>1397</v>
      </c>
      <c r="C124" t="s">
        <v>1398</v>
      </c>
      <c r="D124" t="s">
        <v>1399</v>
      </c>
      <c r="E124" t="s">
        <v>1400</v>
      </c>
      <c r="F124">
        <v>16</v>
      </c>
      <c r="G124">
        <v>122</v>
      </c>
      <c r="H124">
        <v>801</v>
      </c>
      <c r="I124">
        <v>1416430</v>
      </c>
    </row>
    <row r="125" spans="1:9" x14ac:dyDescent="0.25">
      <c r="A125">
        <v>124</v>
      </c>
      <c r="B125" t="s">
        <v>4216</v>
      </c>
      <c r="C125" t="s">
        <v>1942</v>
      </c>
      <c r="D125" t="s">
        <v>4217</v>
      </c>
      <c r="E125" t="s">
        <v>1943</v>
      </c>
      <c r="F125">
        <v>103</v>
      </c>
      <c r="G125">
        <v>123</v>
      </c>
      <c r="H125">
        <v>8</v>
      </c>
      <c r="I125">
        <v>1415799</v>
      </c>
    </row>
    <row r="126" spans="1:9" x14ac:dyDescent="0.25">
      <c r="A126">
        <v>125</v>
      </c>
      <c r="B126" t="s">
        <v>4518</v>
      </c>
      <c r="C126" t="s">
        <v>863</v>
      </c>
      <c r="D126" t="s">
        <v>4519</v>
      </c>
      <c r="E126" t="s">
        <v>1329</v>
      </c>
      <c r="F126">
        <v>40</v>
      </c>
      <c r="G126">
        <v>131</v>
      </c>
      <c r="H126">
        <v>1382</v>
      </c>
      <c r="I126">
        <v>1413541</v>
      </c>
    </row>
    <row r="127" spans="1:9" x14ac:dyDescent="0.25">
      <c r="A127">
        <v>126</v>
      </c>
      <c r="B127" t="s">
        <v>1543</v>
      </c>
      <c r="C127" t="s">
        <v>1544</v>
      </c>
      <c r="D127" t="s">
        <v>1545</v>
      </c>
      <c r="E127" t="s">
        <v>1544</v>
      </c>
      <c r="F127">
        <v>110</v>
      </c>
      <c r="G127">
        <v>129</v>
      </c>
      <c r="H127">
        <v>77</v>
      </c>
      <c r="I127">
        <v>1404458</v>
      </c>
    </row>
    <row r="128" spans="1:9" x14ac:dyDescent="0.25">
      <c r="A128">
        <v>127</v>
      </c>
      <c r="B128" t="s">
        <v>3719</v>
      </c>
      <c r="C128" t="s">
        <v>1320</v>
      </c>
      <c r="D128" t="s">
        <v>3720</v>
      </c>
      <c r="E128" t="s">
        <v>1322</v>
      </c>
      <c r="F128">
        <v>127</v>
      </c>
      <c r="G128">
        <v>140</v>
      </c>
      <c r="H128">
        <v>16</v>
      </c>
      <c r="I128">
        <v>1402940</v>
      </c>
    </row>
    <row r="129" spans="1:9" x14ac:dyDescent="0.25">
      <c r="A129">
        <v>128</v>
      </c>
      <c r="B129" t="s">
        <v>1349</v>
      </c>
      <c r="C129" t="s">
        <v>1350</v>
      </c>
      <c r="D129" t="s">
        <v>1351</v>
      </c>
      <c r="E129" t="s">
        <v>376</v>
      </c>
      <c r="F129">
        <v>52</v>
      </c>
      <c r="G129">
        <v>130</v>
      </c>
      <c r="H129">
        <v>163</v>
      </c>
      <c r="I129">
        <v>1394230</v>
      </c>
    </row>
    <row r="130" spans="1:9" x14ac:dyDescent="0.25">
      <c r="A130">
        <v>129</v>
      </c>
      <c r="B130" t="s">
        <v>1376</v>
      </c>
      <c r="C130" t="s">
        <v>1377</v>
      </c>
      <c r="D130" t="s">
        <v>1378</v>
      </c>
      <c r="E130" t="s">
        <v>1379</v>
      </c>
      <c r="F130">
        <v>1</v>
      </c>
      <c r="G130">
        <v>121</v>
      </c>
      <c r="H130">
        <v>676</v>
      </c>
      <c r="I130">
        <v>1389112</v>
      </c>
    </row>
    <row r="131" spans="1:9" x14ac:dyDescent="0.25">
      <c r="A131">
        <v>130</v>
      </c>
      <c r="B131" t="s">
        <v>1529</v>
      </c>
      <c r="C131" t="s">
        <v>628</v>
      </c>
      <c r="D131" t="s">
        <v>1530</v>
      </c>
      <c r="E131" t="s">
        <v>1307</v>
      </c>
      <c r="F131">
        <v>9</v>
      </c>
      <c r="G131">
        <v>139</v>
      </c>
      <c r="H131">
        <v>1308</v>
      </c>
      <c r="I131">
        <v>1382121</v>
      </c>
    </row>
    <row r="132" spans="1:9" x14ac:dyDescent="0.25">
      <c r="A132">
        <v>131</v>
      </c>
      <c r="B132" t="s">
        <v>1308</v>
      </c>
      <c r="C132" t="s">
        <v>1309</v>
      </c>
      <c r="D132" t="s">
        <v>1310</v>
      </c>
      <c r="E132" t="s">
        <v>1311</v>
      </c>
      <c r="F132">
        <v>18</v>
      </c>
      <c r="G132">
        <v>128</v>
      </c>
      <c r="H132">
        <v>96</v>
      </c>
      <c r="I132">
        <v>1380742</v>
      </c>
    </row>
    <row r="133" spans="1:9" x14ac:dyDescent="0.25">
      <c r="A133">
        <v>132</v>
      </c>
      <c r="B133" t="s">
        <v>4315</v>
      </c>
      <c r="C133" t="s">
        <v>4316</v>
      </c>
      <c r="D133" t="s">
        <v>4317</v>
      </c>
      <c r="E133" t="s">
        <v>1124</v>
      </c>
      <c r="F133">
        <v>105</v>
      </c>
      <c r="G133">
        <v>113</v>
      </c>
      <c r="H133">
        <v>8</v>
      </c>
      <c r="I133">
        <v>1372640</v>
      </c>
    </row>
    <row r="134" spans="1:9" x14ac:dyDescent="0.25">
      <c r="A134">
        <v>133</v>
      </c>
      <c r="B134" t="s">
        <v>1277</v>
      </c>
      <c r="C134" t="s">
        <v>1278</v>
      </c>
      <c r="D134" t="s">
        <v>1279</v>
      </c>
      <c r="E134" t="s">
        <v>1280</v>
      </c>
      <c r="F134">
        <v>13</v>
      </c>
      <c r="G134">
        <v>133</v>
      </c>
      <c r="H134">
        <v>212</v>
      </c>
      <c r="I134">
        <v>1371272</v>
      </c>
    </row>
    <row r="135" spans="1:9" x14ac:dyDescent="0.25">
      <c r="A135">
        <v>134</v>
      </c>
      <c r="B135" t="s">
        <v>1327</v>
      </c>
      <c r="C135" t="s">
        <v>863</v>
      </c>
      <c r="D135" t="s">
        <v>1328</v>
      </c>
      <c r="E135" t="s">
        <v>1329</v>
      </c>
      <c r="F135">
        <v>1</v>
      </c>
      <c r="G135">
        <v>134</v>
      </c>
      <c r="H135">
        <v>2623</v>
      </c>
      <c r="I135">
        <v>1369786</v>
      </c>
    </row>
    <row r="136" spans="1:9" x14ac:dyDescent="0.25">
      <c r="A136">
        <v>135</v>
      </c>
      <c r="B136" t="s">
        <v>1531</v>
      </c>
      <c r="C136" t="s">
        <v>1532</v>
      </c>
      <c r="D136" t="s">
        <v>1533</v>
      </c>
      <c r="E136" t="s">
        <v>1534</v>
      </c>
      <c r="F136">
        <v>5</v>
      </c>
      <c r="G136">
        <v>125</v>
      </c>
      <c r="H136">
        <v>466</v>
      </c>
      <c r="I136">
        <v>1365804</v>
      </c>
    </row>
    <row r="137" spans="1:9" x14ac:dyDescent="0.25">
      <c r="A137">
        <v>136</v>
      </c>
      <c r="B137" t="s">
        <v>1365</v>
      </c>
      <c r="C137" t="s">
        <v>1366</v>
      </c>
      <c r="D137" t="s">
        <v>1367</v>
      </c>
      <c r="E137" t="s">
        <v>1368</v>
      </c>
      <c r="F137">
        <v>24</v>
      </c>
      <c r="G137">
        <v>132</v>
      </c>
      <c r="H137">
        <v>153</v>
      </c>
      <c r="I137">
        <v>1348455</v>
      </c>
    </row>
    <row r="138" spans="1:9" x14ac:dyDescent="0.25">
      <c r="A138">
        <v>137</v>
      </c>
      <c r="B138" t="s">
        <v>1518</v>
      </c>
      <c r="C138" t="s">
        <v>1519</v>
      </c>
      <c r="D138" t="s">
        <v>1520</v>
      </c>
      <c r="E138" t="s">
        <v>341</v>
      </c>
      <c r="F138">
        <v>34</v>
      </c>
      <c r="G138">
        <v>163</v>
      </c>
      <c r="H138">
        <v>352</v>
      </c>
      <c r="I138">
        <v>1346795</v>
      </c>
    </row>
    <row r="139" spans="1:9" x14ac:dyDescent="0.25">
      <c r="A139">
        <v>138</v>
      </c>
      <c r="B139" t="s">
        <v>1426</v>
      </c>
      <c r="C139" t="s">
        <v>1427</v>
      </c>
      <c r="D139" t="s">
        <v>1428</v>
      </c>
      <c r="E139" t="s">
        <v>1429</v>
      </c>
      <c r="F139">
        <v>2</v>
      </c>
      <c r="G139">
        <v>158</v>
      </c>
      <c r="H139">
        <v>1915</v>
      </c>
      <c r="I139">
        <v>1341122</v>
      </c>
    </row>
    <row r="140" spans="1:9" x14ac:dyDescent="0.25">
      <c r="A140">
        <v>139</v>
      </c>
      <c r="B140" t="s">
        <v>4525</v>
      </c>
      <c r="C140" t="s">
        <v>1201</v>
      </c>
      <c r="D140" t="s">
        <v>4526</v>
      </c>
      <c r="E140" t="s">
        <v>1203</v>
      </c>
      <c r="F140">
        <v>119</v>
      </c>
      <c r="G140">
        <v>124</v>
      </c>
      <c r="H140">
        <v>51</v>
      </c>
      <c r="I140">
        <v>1335824</v>
      </c>
    </row>
    <row r="141" spans="1:9" x14ac:dyDescent="0.25">
      <c r="A141">
        <v>140</v>
      </c>
      <c r="B141" t="s">
        <v>1449</v>
      </c>
      <c r="C141" t="s">
        <v>635</v>
      </c>
      <c r="D141" t="s">
        <v>1450</v>
      </c>
      <c r="E141" t="s">
        <v>109</v>
      </c>
      <c r="F141">
        <v>21</v>
      </c>
      <c r="G141">
        <v>136</v>
      </c>
      <c r="H141">
        <v>1118</v>
      </c>
      <c r="I141">
        <v>1334411</v>
      </c>
    </row>
    <row r="142" spans="1:9" x14ac:dyDescent="0.25">
      <c r="A142">
        <v>141</v>
      </c>
      <c r="B142" t="s">
        <v>1511</v>
      </c>
      <c r="C142" t="s">
        <v>1512</v>
      </c>
      <c r="D142" t="s">
        <v>1513</v>
      </c>
      <c r="E142" t="s">
        <v>1514</v>
      </c>
      <c r="F142">
        <v>122</v>
      </c>
      <c r="G142">
        <v>168</v>
      </c>
      <c r="H142">
        <v>146</v>
      </c>
      <c r="I142">
        <v>1331211</v>
      </c>
    </row>
    <row r="143" spans="1:9" x14ac:dyDescent="0.25">
      <c r="A143">
        <v>142</v>
      </c>
      <c r="B143" t="s">
        <v>1471</v>
      </c>
      <c r="C143" t="s">
        <v>1472</v>
      </c>
      <c r="D143" t="s">
        <v>1473</v>
      </c>
      <c r="E143" t="s">
        <v>1474</v>
      </c>
      <c r="F143">
        <v>78</v>
      </c>
      <c r="G143">
        <v>142</v>
      </c>
      <c r="H143">
        <v>1598</v>
      </c>
      <c r="I143">
        <v>1330563</v>
      </c>
    </row>
    <row r="144" spans="1:9" x14ac:dyDescent="0.25">
      <c r="A144">
        <v>143</v>
      </c>
      <c r="B144" t="s">
        <v>1464</v>
      </c>
      <c r="C144" t="s">
        <v>1465</v>
      </c>
      <c r="D144" t="s">
        <v>1466</v>
      </c>
      <c r="E144" t="s">
        <v>1467</v>
      </c>
      <c r="F144">
        <v>99</v>
      </c>
      <c r="G144">
        <v>149</v>
      </c>
      <c r="H144">
        <v>29</v>
      </c>
      <c r="I144">
        <v>1316600</v>
      </c>
    </row>
    <row r="145" spans="1:9" x14ac:dyDescent="0.25">
      <c r="A145">
        <v>144</v>
      </c>
      <c r="B145" t="s">
        <v>1323</v>
      </c>
      <c r="C145" t="s">
        <v>1324</v>
      </c>
      <c r="D145" t="s">
        <v>1325</v>
      </c>
      <c r="E145" t="s">
        <v>1326</v>
      </c>
      <c r="F145">
        <v>4</v>
      </c>
      <c r="G145">
        <v>135</v>
      </c>
      <c r="H145">
        <v>441</v>
      </c>
      <c r="I145">
        <v>1311056</v>
      </c>
    </row>
    <row r="146" spans="1:9" x14ac:dyDescent="0.25">
      <c r="A146">
        <v>145</v>
      </c>
      <c r="B146" t="s">
        <v>1433</v>
      </c>
      <c r="C146" t="s">
        <v>1434</v>
      </c>
      <c r="D146" t="s">
        <v>1435</v>
      </c>
      <c r="E146" t="s">
        <v>1436</v>
      </c>
      <c r="F146">
        <v>92</v>
      </c>
      <c r="G146">
        <v>152</v>
      </c>
      <c r="H146">
        <v>832</v>
      </c>
      <c r="I146">
        <v>1310904</v>
      </c>
    </row>
    <row r="147" spans="1:9" x14ac:dyDescent="0.25">
      <c r="A147">
        <v>146</v>
      </c>
      <c r="B147" t="s">
        <v>139</v>
      </c>
      <c r="C147" t="s">
        <v>140</v>
      </c>
      <c r="D147" t="s">
        <v>141</v>
      </c>
      <c r="E147" t="s">
        <v>142</v>
      </c>
      <c r="F147">
        <v>132</v>
      </c>
      <c r="G147">
        <v>141</v>
      </c>
      <c r="H147">
        <v>20</v>
      </c>
      <c r="I147">
        <v>1307174</v>
      </c>
    </row>
    <row r="148" spans="1:9" x14ac:dyDescent="0.25">
      <c r="A148">
        <v>147</v>
      </c>
      <c r="B148" t="s">
        <v>1552</v>
      </c>
      <c r="C148" t="s">
        <v>635</v>
      </c>
      <c r="D148" t="s">
        <v>1553</v>
      </c>
      <c r="E148" t="s">
        <v>109</v>
      </c>
      <c r="F148">
        <v>28</v>
      </c>
      <c r="G148">
        <v>138</v>
      </c>
      <c r="H148">
        <v>963</v>
      </c>
      <c r="I148">
        <v>1304775</v>
      </c>
    </row>
    <row r="149" spans="1:9" x14ac:dyDescent="0.25">
      <c r="A149">
        <v>148</v>
      </c>
      <c r="B149" t="s">
        <v>1357</v>
      </c>
      <c r="C149" t="s">
        <v>1358</v>
      </c>
      <c r="D149" t="s">
        <v>1359</v>
      </c>
      <c r="E149" t="s">
        <v>1360</v>
      </c>
      <c r="F149">
        <v>5</v>
      </c>
      <c r="G149">
        <v>148</v>
      </c>
      <c r="H149">
        <v>112</v>
      </c>
      <c r="I149">
        <v>1300677</v>
      </c>
    </row>
    <row r="150" spans="1:9" x14ac:dyDescent="0.25">
      <c r="A150">
        <v>149</v>
      </c>
      <c r="B150" t="s">
        <v>1964</v>
      </c>
      <c r="C150" t="s">
        <v>1965</v>
      </c>
      <c r="D150" t="s">
        <v>1966</v>
      </c>
      <c r="E150" t="s">
        <v>341</v>
      </c>
      <c r="F150">
        <v>28</v>
      </c>
      <c r="G150">
        <v>145</v>
      </c>
      <c r="H150">
        <v>154</v>
      </c>
      <c r="I150">
        <v>1296846</v>
      </c>
    </row>
    <row r="151" spans="1:9" x14ac:dyDescent="0.25">
      <c r="A151">
        <v>150</v>
      </c>
      <c r="B151" t="s">
        <v>4577</v>
      </c>
      <c r="C151" t="s">
        <v>1612</v>
      </c>
      <c r="D151" t="s">
        <v>4578</v>
      </c>
      <c r="E151" t="s">
        <v>1124</v>
      </c>
      <c r="F151">
        <v>150</v>
      </c>
      <c r="G151">
        <v>167</v>
      </c>
      <c r="H151">
        <v>3</v>
      </c>
      <c r="I151">
        <v>1293927</v>
      </c>
    </row>
    <row r="152" spans="1:9" x14ac:dyDescent="0.25">
      <c r="A152">
        <v>151</v>
      </c>
      <c r="B152" t="s">
        <v>1461</v>
      </c>
      <c r="C152" t="s">
        <v>1462</v>
      </c>
      <c r="D152" t="s">
        <v>1463</v>
      </c>
      <c r="E152" t="s">
        <v>1329</v>
      </c>
      <c r="F152">
        <v>27</v>
      </c>
      <c r="G152">
        <v>151</v>
      </c>
      <c r="H152">
        <v>137</v>
      </c>
      <c r="I152">
        <v>1285045</v>
      </c>
    </row>
    <row r="153" spans="1:9" x14ac:dyDescent="0.25">
      <c r="A153">
        <v>152</v>
      </c>
      <c r="B153" t="s">
        <v>1503</v>
      </c>
      <c r="C153" t="s">
        <v>1362</v>
      </c>
      <c r="D153" t="s">
        <v>1504</v>
      </c>
      <c r="E153" t="s">
        <v>1364</v>
      </c>
      <c r="F153">
        <v>95</v>
      </c>
      <c r="G153">
        <v>155</v>
      </c>
      <c r="H153">
        <v>211</v>
      </c>
      <c r="I153">
        <v>1279697</v>
      </c>
    </row>
    <row r="154" spans="1:9" x14ac:dyDescent="0.25">
      <c r="A154">
        <v>153</v>
      </c>
      <c r="B154" t="s">
        <v>1475</v>
      </c>
      <c r="C154" t="s">
        <v>1476</v>
      </c>
      <c r="D154" t="s">
        <v>1477</v>
      </c>
      <c r="E154" t="s">
        <v>1133</v>
      </c>
      <c r="F154">
        <v>59</v>
      </c>
      <c r="G154">
        <v>156</v>
      </c>
      <c r="H154">
        <v>1334</v>
      </c>
      <c r="I154">
        <v>1279237</v>
      </c>
    </row>
    <row r="155" spans="1:9" x14ac:dyDescent="0.25">
      <c r="A155">
        <v>154</v>
      </c>
      <c r="B155" t="s">
        <v>1579</v>
      </c>
      <c r="C155" t="s">
        <v>710</v>
      </c>
      <c r="D155" t="s">
        <v>1580</v>
      </c>
      <c r="E155" t="s">
        <v>1211</v>
      </c>
      <c r="F155">
        <v>120</v>
      </c>
      <c r="G155">
        <v>159</v>
      </c>
      <c r="H155">
        <v>184</v>
      </c>
      <c r="I155">
        <v>1277310</v>
      </c>
    </row>
    <row r="156" spans="1:9" x14ac:dyDescent="0.25">
      <c r="A156">
        <v>155</v>
      </c>
      <c r="B156" t="s">
        <v>1390</v>
      </c>
      <c r="C156" t="s">
        <v>1391</v>
      </c>
      <c r="D156" t="s">
        <v>1392</v>
      </c>
      <c r="E156" t="s">
        <v>1393</v>
      </c>
      <c r="F156">
        <v>2</v>
      </c>
      <c r="G156">
        <v>164</v>
      </c>
      <c r="H156">
        <v>532</v>
      </c>
      <c r="I156">
        <v>1264480</v>
      </c>
    </row>
    <row r="157" spans="1:9" x14ac:dyDescent="0.25">
      <c r="A157">
        <v>156</v>
      </c>
      <c r="B157" t="s">
        <v>1372</v>
      </c>
      <c r="C157" t="s">
        <v>1373</v>
      </c>
      <c r="D157" t="s">
        <v>1374</v>
      </c>
      <c r="E157" t="s">
        <v>1375</v>
      </c>
      <c r="F157">
        <v>12</v>
      </c>
      <c r="G157">
        <v>166</v>
      </c>
      <c r="H157">
        <v>121</v>
      </c>
      <c r="I157">
        <v>1260869</v>
      </c>
    </row>
    <row r="158" spans="1:9" x14ac:dyDescent="0.25">
      <c r="A158">
        <v>157</v>
      </c>
      <c r="B158" t="s">
        <v>1505</v>
      </c>
      <c r="C158" t="s">
        <v>641</v>
      </c>
      <c r="D158" t="s">
        <v>1506</v>
      </c>
      <c r="E158" t="s">
        <v>232</v>
      </c>
      <c r="F158">
        <v>2</v>
      </c>
      <c r="G158">
        <v>175</v>
      </c>
      <c r="H158">
        <v>211</v>
      </c>
      <c r="I158">
        <v>1259226</v>
      </c>
    </row>
    <row r="159" spans="1:9" x14ac:dyDescent="0.25">
      <c r="A159">
        <v>158</v>
      </c>
      <c r="B159" t="s">
        <v>1316</v>
      </c>
      <c r="C159" t="s">
        <v>863</v>
      </c>
      <c r="D159" t="s">
        <v>1317</v>
      </c>
      <c r="E159" t="s">
        <v>1318</v>
      </c>
      <c r="F159">
        <v>15</v>
      </c>
      <c r="G159">
        <v>147</v>
      </c>
      <c r="H159">
        <v>91</v>
      </c>
      <c r="I159">
        <v>1258345</v>
      </c>
    </row>
    <row r="160" spans="1:9" x14ac:dyDescent="0.25">
      <c r="A160">
        <v>159</v>
      </c>
      <c r="B160" t="s">
        <v>1036</v>
      </c>
      <c r="C160" t="s">
        <v>1037</v>
      </c>
      <c r="D160" t="s">
        <v>1038</v>
      </c>
      <c r="E160" t="s">
        <v>1039</v>
      </c>
      <c r="F160">
        <v>70</v>
      </c>
      <c r="G160">
        <v>160</v>
      </c>
      <c r="H160">
        <v>116</v>
      </c>
      <c r="I160">
        <v>1256865</v>
      </c>
    </row>
    <row r="161" spans="1:9" x14ac:dyDescent="0.25">
      <c r="A161">
        <v>160</v>
      </c>
      <c r="B161" t="s">
        <v>1369</v>
      </c>
      <c r="C161" t="s">
        <v>1370</v>
      </c>
      <c r="D161" t="s">
        <v>1371</v>
      </c>
      <c r="E161" t="s">
        <v>1161</v>
      </c>
      <c r="F161">
        <v>8</v>
      </c>
      <c r="G161">
        <v>165</v>
      </c>
      <c r="H161">
        <v>243</v>
      </c>
      <c r="I161">
        <v>1256119</v>
      </c>
    </row>
    <row r="162" spans="1:9" x14ac:dyDescent="0.25">
      <c r="A162">
        <v>161</v>
      </c>
      <c r="B162" t="s">
        <v>1507</v>
      </c>
      <c r="C162" t="s">
        <v>1508</v>
      </c>
      <c r="D162" t="s">
        <v>1509</v>
      </c>
      <c r="E162" t="s">
        <v>303</v>
      </c>
      <c r="F162">
        <v>15</v>
      </c>
      <c r="G162">
        <v>-1</v>
      </c>
      <c r="H162">
        <v>258</v>
      </c>
      <c r="I162">
        <v>1255384</v>
      </c>
    </row>
    <row r="163" spans="1:9" x14ac:dyDescent="0.25">
      <c r="A163">
        <v>162</v>
      </c>
      <c r="B163" t="s">
        <v>1537</v>
      </c>
      <c r="C163" t="s">
        <v>1177</v>
      </c>
      <c r="D163" t="s">
        <v>1538</v>
      </c>
      <c r="E163" t="s">
        <v>1179</v>
      </c>
      <c r="F163">
        <v>77</v>
      </c>
      <c r="G163">
        <v>161</v>
      </c>
      <c r="H163">
        <v>83</v>
      </c>
      <c r="I163">
        <v>1254297</v>
      </c>
    </row>
    <row r="164" spans="1:9" x14ac:dyDescent="0.25">
      <c r="A164">
        <v>163</v>
      </c>
      <c r="B164" t="s">
        <v>1440</v>
      </c>
      <c r="C164" t="s">
        <v>1441</v>
      </c>
      <c r="D164" t="s">
        <v>1442</v>
      </c>
      <c r="E164" t="s">
        <v>1443</v>
      </c>
      <c r="F164">
        <v>2</v>
      </c>
      <c r="G164">
        <v>171</v>
      </c>
      <c r="H164">
        <v>571</v>
      </c>
      <c r="I164">
        <v>1251031</v>
      </c>
    </row>
    <row r="165" spans="1:9" x14ac:dyDescent="0.25">
      <c r="A165">
        <v>164</v>
      </c>
      <c r="B165" t="s">
        <v>4649</v>
      </c>
      <c r="C165" t="s">
        <v>1282</v>
      </c>
      <c r="D165" t="s">
        <v>4650</v>
      </c>
      <c r="E165" t="s">
        <v>957</v>
      </c>
      <c r="F165">
        <v>164</v>
      </c>
      <c r="G165">
        <v>194</v>
      </c>
      <c r="H165">
        <v>3</v>
      </c>
      <c r="I165">
        <v>1246018</v>
      </c>
    </row>
    <row r="166" spans="1:9" x14ac:dyDescent="0.25">
      <c r="A166">
        <v>165</v>
      </c>
      <c r="B166" t="s">
        <v>4530</v>
      </c>
      <c r="C166" t="s">
        <v>4531</v>
      </c>
      <c r="D166" t="s">
        <v>4532</v>
      </c>
      <c r="E166" t="s">
        <v>4533</v>
      </c>
      <c r="F166">
        <v>165</v>
      </c>
      <c r="G166">
        <v>178</v>
      </c>
      <c r="H166">
        <v>4</v>
      </c>
      <c r="I166">
        <v>1241970</v>
      </c>
    </row>
    <row r="167" spans="1:9" x14ac:dyDescent="0.25">
      <c r="A167">
        <v>166</v>
      </c>
      <c r="B167" t="s">
        <v>4523</v>
      </c>
      <c r="C167" t="s">
        <v>1715</v>
      </c>
      <c r="D167" t="s">
        <v>4524</v>
      </c>
      <c r="E167" t="s">
        <v>2389</v>
      </c>
      <c r="F167">
        <v>6</v>
      </c>
      <c r="G167">
        <v>150</v>
      </c>
      <c r="H167">
        <v>1002</v>
      </c>
      <c r="I167">
        <v>1240926</v>
      </c>
    </row>
    <row r="168" spans="1:9" x14ac:dyDescent="0.25">
      <c r="A168">
        <v>167</v>
      </c>
      <c r="B168" t="s">
        <v>1419</v>
      </c>
      <c r="C168" t="s">
        <v>1420</v>
      </c>
      <c r="D168" t="s">
        <v>1421</v>
      </c>
      <c r="E168" t="s">
        <v>1326</v>
      </c>
      <c r="F168">
        <v>44</v>
      </c>
      <c r="G168">
        <v>157</v>
      </c>
      <c r="H168">
        <v>77</v>
      </c>
      <c r="I168">
        <v>1239512</v>
      </c>
    </row>
    <row r="169" spans="1:9" x14ac:dyDescent="0.25">
      <c r="A169">
        <v>168</v>
      </c>
      <c r="B169" t="s">
        <v>1492</v>
      </c>
      <c r="C169" t="s">
        <v>1493</v>
      </c>
      <c r="D169" t="s">
        <v>1494</v>
      </c>
      <c r="E169" t="s">
        <v>109</v>
      </c>
      <c r="F169">
        <v>18</v>
      </c>
      <c r="G169">
        <v>-1</v>
      </c>
      <c r="H169">
        <v>551</v>
      </c>
      <c r="I169">
        <v>1236209</v>
      </c>
    </row>
    <row r="170" spans="1:9" x14ac:dyDescent="0.25">
      <c r="A170">
        <v>169</v>
      </c>
      <c r="B170" t="s">
        <v>1416</v>
      </c>
      <c r="C170" t="s">
        <v>1417</v>
      </c>
      <c r="D170" t="s">
        <v>1418</v>
      </c>
      <c r="E170" t="s">
        <v>341</v>
      </c>
      <c r="F170">
        <v>96</v>
      </c>
      <c r="G170">
        <v>146</v>
      </c>
      <c r="H170">
        <v>112</v>
      </c>
      <c r="I170">
        <v>1235639</v>
      </c>
    </row>
    <row r="171" spans="1:9" x14ac:dyDescent="0.25">
      <c r="A171">
        <v>170</v>
      </c>
      <c r="B171" t="s">
        <v>1444</v>
      </c>
      <c r="C171" t="s">
        <v>496</v>
      </c>
      <c r="D171" t="s">
        <v>1445</v>
      </c>
      <c r="E171" t="s">
        <v>1133</v>
      </c>
      <c r="F171">
        <v>2</v>
      </c>
      <c r="G171">
        <v>143</v>
      </c>
      <c r="H171">
        <v>378</v>
      </c>
      <c r="I171">
        <v>1233381</v>
      </c>
    </row>
    <row r="172" spans="1:9" x14ac:dyDescent="0.25">
      <c r="A172">
        <v>171</v>
      </c>
      <c r="B172" t="s">
        <v>3717</v>
      </c>
      <c r="C172" t="s">
        <v>710</v>
      </c>
      <c r="D172" t="s">
        <v>3718</v>
      </c>
      <c r="E172" t="s">
        <v>1211</v>
      </c>
      <c r="F172">
        <v>70</v>
      </c>
      <c r="G172">
        <v>154</v>
      </c>
      <c r="H172">
        <v>24</v>
      </c>
      <c r="I172">
        <v>1230300</v>
      </c>
    </row>
    <row r="173" spans="1:9" x14ac:dyDescent="0.25">
      <c r="A173">
        <v>172</v>
      </c>
      <c r="B173" t="s">
        <v>1957</v>
      </c>
      <c r="C173" t="s">
        <v>1958</v>
      </c>
      <c r="D173" t="s">
        <v>1959</v>
      </c>
      <c r="E173" t="s">
        <v>268</v>
      </c>
      <c r="F173">
        <v>18</v>
      </c>
      <c r="G173">
        <v>162</v>
      </c>
      <c r="H173">
        <v>1149</v>
      </c>
      <c r="I173">
        <v>1227847</v>
      </c>
    </row>
    <row r="174" spans="1:9" x14ac:dyDescent="0.25">
      <c r="A174">
        <v>173</v>
      </c>
      <c r="B174" t="s">
        <v>4527</v>
      </c>
      <c r="C174" t="s">
        <v>1688</v>
      </c>
      <c r="D174" t="s">
        <v>4528</v>
      </c>
      <c r="E174" t="s">
        <v>4529</v>
      </c>
      <c r="F174">
        <v>58</v>
      </c>
      <c r="G174">
        <v>180</v>
      </c>
      <c r="H174">
        <v>258</v>
      </c>
      <c r="I174">
        <v>1226579</v>
      </c>
    </row>
    <row r="175" spans="1:9" x14ac:dyDescent="0.25">
      <c r="A175">
        <v>174</v>
      </c>
      <c r="B175" t="s">
        <v>1515</v>
      </c>
      <c r="C175" t="s">
        <v>1516</v>
      </c>
      <c r="D175" t="s">
        <v>1517</v>
      </c>
      <c r="E175" t="s">
        <v>1120</v>
      </c>
      <c r="F175">
        <v>13</v>
      </c>
      <c r="G175">
        <v>144</v>
      </c>
      <c r="H175">
        <v>627</v>
      </c>
      <c r="I175">
        <v>1225583</v>
      </c>
    </row>
    <row r="176" spans="1:9" x14ac:dyDescent="0.25">
      <c r="A176">
        <v>175</v>
      </c>
      <c r="B176" t="s">
        <v>1967</v>
      </c>
      <c r="C176" t="s">
        <v>1190</v>
      </c>
      <c r="D176" t="s">
        <v>1968</v>
      </c>
      <c r="E176" t="s">
        <v>1192</v>
      </c>
      <c r="F176">
        <v>15</v>
      </c>
      <c r="G176">
        <v>173</v>
      </c>
      <c r="H176">
        <v>354</v>
      </c>
      <c r="I176">
        <v>1225370</v>
      </c>
    </row>
    <row r="177" spans="1:9" x14ac:dyDescent="0.25">
      <c r="A177">
        <v>176</v>
      </c>
      <c r="B177" t="s">
        <v>1490</v>
      </c>
      <c r="C177" t="s">
        <v>635</v>
      </c>
      <c r="D177" t="s">
        <v>1491</v>
      </c>
      <c r="E177" t="s">
        <v>109</v>
      </c>
      <c r="F177">
        <v>5</v>
      </c>
      <c r="G177">
        <v>179</v>
      </c>
      <c r="H177">
        <v>1015</v>
      </c>
      <c r="I177">
        <v>1220314</v>
      </c>
    </row>
    <row r="178" spans="1:9" x14ac:dyDescent="0.25">
      <c r="A178">
        <v>177</v>
      </c>
      <c r="B178" t="s">
        <v>1430</v>
      </c>
      <c r="C178" t="s">
        <v>1431</v>
      </c>
      <c r="D178" t="s">
        <v>1432</v>
      </c>
      <c r="E178" t="s">
        <v>232</v>
      </c>
      <c r="F178">
        <v>77</v>
      </c>
      <c r="G178">
        <v>-1</v>
      </c>
      <c r="H178">
        <v>81</v>
      </c>
      <c r="I178">
        <v>1219073</v>
      </c>
    </row>
    <row r="179" spans="1:9" x14ac:dyDescent="0.25">
      <c r="A179">
        <v>178</v>
      </c>
      <c r="B179" t="s">
        <v>1485</v>
      </c>
      <c r="C179" t="s">
        <v>496</v>
      </c>
      <c r="D179" t="s">
        <v>1486</v>
      </c>
      <c r="E179" t="s">
        <v>1133</v>
      </c>
      <c r="F179">
        <v>1</v>
      </c>
      <c r="G179">
        <v>153</v>
      </c>
      <c r="H179">
        <v>455</v>
      </c>
      <c r="I179">
        <v>1216986</v>
      </c>
    </row>
    <row r="180" spans="1:9" x14ac:dyDescent="0.25">
      <c r="A180">
        <v>179</v>
      </c>
      <c r="B180" t="s">
        <v>13</v>
      </c>
      <c r="C180" t="s">
        <v>14</v>
      </c>
      <c r="D180" t="s">
        <v>15</v>
      </c>
      <c r="E180" t="s">
        <v>16</v>
      </c>
      <c r="F180">
        <v>100</v>
      </c>
      <c r="G180">
        <v>-1</v>
      </c>
      <c r="H180">
        <v>77</v>
      </c>
      <c r="I180">
        <v>1215964</v>
      </c>
    </row>
    <row r="181" spans="1:9" x14ac:dyDescent="0.25">
      <c r="A181">
        <v>180</v>
      </c>
      <c r="B181" t="s">
        <v>3791</v>
      </c>
      <c r="C181" t="s">
        <v>3792</v>
      </c>
      <c r="D181" t="s">
        <v>3793</v>
      </c>
      <c r="E181" t="s">
        <v>109</v>
      </c>
      <c r="F181">
        <v>54</v>
      </c>
      <c r="G181">
        <v>172</v>
      </c>
      <c r="H181">
        <v>55</v>
      </c>
      <c r="I181">
        <v>1208653</v>
      </c>
    </row>
    <row r="182" spans="1:9" x14ac:dyDescent="0.25">
      <c r="A182">
        <v>181</v>
      </c>
      <c r="B182" t="s">
        <v>1386</v>
      </c>
      <c r="C182" t="s">
        <v>1387</v>
      </c>
      <c r="D182" t="s">
        <v>1388</v>
      </c>
      <c r="E182" t="s">
        <v>1389</v>
      </c>
      <c r="F182">
        <v>64</v>
      </c>
      <c r="G182">
        <v>186</v>
      </c>
      <c r="H182">
        <v>618</v>
      </c>
      <c r="I182">
        <v>1205785</v>
      </c>
    </row>
    <row r="183" spans="1:9" x14ac:dyDescent="0.25">
      <c r="A183">
        <v>182</v>
      </c>
      <c r="B183" t="s">
        <v>1546</v>
      </c>
      <c r="C183" t="s">
        <v>1547</v>
      </c>
      <c r="D183" t="s">
        <v>1548</v>
      </c>
      <c r="E183" t="s">
        <v>1549</v>
      </c>
      <c r="F183">
        <v>107</v>
      </c>
      <c r="G183">
        <v>-1</v>
      </c>
      <c r="H183">
        <v>24</v>
      </c>
      <c r="I183">
        <v>1203216</v>
      </c>
    </row>
    <row r="184" spans="1:9" x14ac:dyDescent="0.25">
      <c r="A184">
        <v>183</v>
      </c>
      <c r="B184" t="s">
        <v>1960</v>
      </c>
      <c r="C184" t="s">
        <v>1961</v>
      </c>
      <c r="D184" t="s">
        <v>1962</v>
      </c>
      <c r="E184" t="s">
        <v>1963</v>
      </c>
      <c r="F184">
        <v>4</v>
      </c>
      <c r="G184">
        <v>181</v>
      </c>
      <c r="H184">
        <v>2308</v>
      </c>
      <c r="I184">
        <v>1203213</v>
      </c>
    </row>
    <row r="185" spans="1:9" x14ac:dyDescent="0.25">
      <c r="A185">
        <v>184</v>
      </c>
      <c r="B185" t="s">
        <v>1458</v>
      </c>
      <c r="C185" t="s">
        <v>641</v>
      </c>
      <c r="D185" t="s">
        <v>1459</v>
      </c>
      <c r="E185" t="s">
        <v>1460</v>
      </c>
      <c r="F185">
        <v>24</v>
      </c>
      <c r="G185">
        <v>195</v>
      </c>
      <c r="H185">
        <v>219</v>
      </c>
      <c r="I185">
        <v>1202032</v>
      </c>
    </row>
    <row r="186" spans="1:9" x14ac:dyDescent="0.25">
      <c r="A186">
        <v>185</v>
      </c>
      <c r="B186" t="s">
        <v>4396</v>
      </c>
      <c r="C186" t="s">
        <v>4397</v>
      </c>
      <c r="D186" t="s">
        <v>4398</v>
      </c>
      <c r="E186" t="s">
        <v>4399</v>
      </c>
      <c r="F186">
        <v>169</v>
      </c>
      <c r="G186">
        <v>169</v>
      </c>
      <c r="H186">
        <v>12</v>
      </c>
      <c r="I186">
        <v>1201370</v>
      </c>
    </row>
    <row r="187" spans="1:9" x14ac:dyDescent="0.25">
      <c r="A187">
        <v>186</v>
      </c>
      <c r="B187" t="s">
        <v>1380</v>
      </c>
      <c r="C187" t="s">
        <v>1381</v>
      </c>
      <c r="D187" t="s">
        <v>1382</v>
      </c>
      <c r="E187" t="s">
        <v>1383</v>
      </c>
      <c r="F187">
        <v>1</v>
      </c>
      <c r="G187">
        <v>-1</v>
      </c>
      <c r="H187">
        <v>480</v>
      </c>
      <c r="I187">
        <v>1194818</v>
      </c>
    </row>
    <row r="188" spans="1:9" x14ac:dyDescent="0.25">
      <c r="A188">
        <v>187</v>
      </c>
      <c r="B188" t="s">
        <v>4700</v>
      </c>
      <c r="C188" t="s">
        <v>4701</v>
      </c>
      <c r="D188" t="s">
        <v>4702</v>
      </c>
      <c r="E188" t="s">
        <v>1562</v>
      </c>
      <c r="F188">
        <v>63</v>
      </c>
      <c r="G188">
        <v>-1</v>
      </c>
      <c r="H188">
        <v>534</v>
      </c>
      <c r="I188">
        <v>1194355</v>
      </c>
    </row>
    <row r="189" spans="1:9" x14ac:dyDescent="0.25">
      <c r="A189">
        <v>188</v>
      </c>
      <c r="B189" t="s">
        <v>4400</v>
      </c>
      <c r="C189" t="s">
        <v>1220</v>
      </c>
      <c r="D189" t="s">
        <v>4401</v>
      </c>
      <c r="E189" t="s">
        <v>1222</v>
      </c>
      <c r="F189">
        <v>177</v>
      </c>
      <c r="G189">
        <v>177</v>
      </c>
      <c r="H189">
        <v>10</v>
      </c>
      <c r="I189">
        <v>1194079</v>
      </c>
    </row>
    <row r="190" spans="1:9" x14ac:dyDescent="0.25">
      <c r="A190">
        <v>189</v>
      </c>
      <c r="B190" t="s">
        <v>1525</v>
      </c>
      <c r="C190" t="s">
        <v>1526</v>
      </c>
      <c r="D190" t="s">
        <v>1527</v>
      </c>
      <c r="E190" t="s">
        <v>1528</v>
      </c>
      <c r="F190">
        <v>5</v>
      </c>
      <c r="G190">
        <v>192</v>
      </c>
      <c r="H190">
        <v>1675</v>
      </c>
      <c r="I190">
        <v>1193741</v>
      </c>
    </row>
    <row r="191" spans="1:9" x14ac:dyDescent="0.25">
      <c r="A191">
        <v>190</v>
      </c>
      <c r="B191" t="s">
        <v>1408</v>
      </c>
      <c r="C191" t="s">
        <v>1409</v>
      </c>
      <c r="D191" t="s">
        <v>1410</v>
      </c>
      <c r="E191" t="s">
        <v>1411</v>
      </c>
      <c r="F191">
        <v>5</v>
      </c>
      <c r="G191">
        <v>176</v>
      </c>
      <c r="H191">
        <v>508</v>
      </c>
      <c r="I191">
        <v>1192990</v>
      </c>
    </row>
    <row r="192" spans="1:9" x14ac:dyDescent="0.25">
      <c r="A192">
        <v>191</v>
      </c>
      <c r="B192" t="s">
        <v>1554</v>
      </c>
      <c r="C192" t="s">
        <v>1555</v>
      </c>
      <c r="D192" t="s">
        <v>1556</v>
      </c>
      <c r="E192" t="s">
        <v>1557</v>
      </c>
      <c r="F192">
        <v>57</v>
      </c>
      <c r="G192">
        <v>184</v>
      </c>
      <c r="H192">
        <v>1225</v>
      </c>
      <c r="I192">
        <v>1191358</v>
      </c>
    </row>
    <row r="193" spans="1:9" x14ac:dyDescent="0.25">
      <c r="A193">
        <v>192</v>
      </c>
      <c r="B193" t="s">
        <v>4703</v>
      </c>
      <c r="C193" t="s">
        <v>4704</v>
      </c>
      <c r="D193" t="s">
        <v>4705</v>
      </c>
      <c r="E193" t="s">
        <v>1972</v>
      </c>
      <c r="F193">
        <v>176</v>
      </c>
      <c r="G193">
        <v>-1</v>
      </c>
      <c r="H193">
        <v>14</v>
      </c>
      <c r="I193">
        <v>1188570</v>
      </c>
    </row>
    <row r="194" spans="1:9" x14ac:dyDescent="0.25">
      <c r="A194">
        <v>193</v>
      </c>
      <c r="B194" t="s">
        <v>1521</v>
      </c>
      <c r="C194" t="s">
        <v>1522</v>
      </c>
      <c r="D194" t="s">
        <v>1523</v>
      </c>
      <c r="E194" t="s">
        <v>1524</v>
      </c>
      <c r="F194">
        <v>94</v>
      </c>
      <c r="G194">
        <v>190</v>
      </c>
      <c r="H194">
        <v>279</v>
      </c>
      <c r="I194">
        <v>1185464</v>
      </c>
    </row>
    <row r="195" spans="1:9" x14ac:dyDescent="0.25">
      <c r="A195">
        <v>194</v>
      </c>
      <c r="B195" t="s">
        <v>1565</v>
      </c>
      <c r="C195" t="s">
        <v>1566</v>
      </c>
      <c r="D195" t="s">
        <v>1567</v>
      </c>
      <c r="E195" t="s">
        <v>1429</v>
      </c>
      <c r="F195">
        <v>2</v>
      </c>
      <c r="G195">
        <v>183</v>
      </c>
      <c r="H195">
        <v>1502</v>
      </c>
      <c r="I195">
        <v>1184791</v>
      </c>
    </row>
    <row r="196" spans="1:9" x14ac:dyDescent="0.25">
      <c r="A196">
        <v>195</v>
      </c>
      <c r="B196" t="s">
        <v>1497</v>
      </c>
      <c r="C196" t="s">
        <v>503</v>
      </c>
      <c r="D196" t="s">
        <v>1498</v>
      </c>
      <c r="E196" t="s">
        <v>505</v>
      </c>
      <c r="F196">
        <v>58</v>
      </c>
      <c r="G196">
        <v>185</v>
      </c>
      <c r="H196">
        <v>108</v>
      </c>
      <c r="I196">
        <v>1182099</v>
      </c>
    </row>
    <row r="197" spans="1:9" x14ac:dyDescent="0.25">
      <c r="A197">
        <v>196</v>
      </c>
      <c r="B197" t="s">
        <v>4706</v>
      </c>
      <c r="C197" t="s">
        <v>2342</v>
      </c>
      <c r="D197" t="s">
        <v>4707</v>
      </c>
      <c r="E197" t="s">
        <v>341</v>
      </c>
      <c r="F197">
        <v>7</v>
      </c>
      <c r="G197">
        <v>-1</v>
      </c>
      <c r="H197">
        <v>2364</v>
      </c>
      <c r="I197">
        <v>1181095</v>
      </c>
    </row>
    <row r="198" spans="1:9" x14ac:dyDescent="0.25">
      <c r="A198">
        <v>197</v>
      </c>
      <c r="B198" t="s">
        <v>1238</v>
      </c>
      <c r="C198" t="s">
        <v>1063</v>
      </c>
      <c r="D198" t="s">
        <v>1064</v>
      </c>
      <c r="E198" t="s">
        <v>1065</v>
      </c>
      <c r="F198">
        <v>27</v>
      </c>
      <c r="G198">
        <v>196</v>
      </c>
      <c r="H198">
        <v>14</v>
      </c>
      <c r="I198">
        <v>1180625</v>
      </c>
    </row>
    <row r="199" spans="1:9" x14ac:dyDescent="0.25">
      <c r="A199">
        <v>198</v>
      </c>
      <c r="B199" t="s">
        <v>1571</v>
      </c>
      <c r="C199" t="s">
        <v>1572</v>
      </c>
      <c r="D199" t="s">
        <v>1573</v>
      </c>
      <c r="E199" t="s">
        <v>1574</v>
      </c>
      <c r="F199">
        <v>3</v>
      </c>
      <c r="G199">
        <v>-1</v>
      </c>
      <c r="H199">
        <v>479</v>
      </c>
      <c r="I199">
        <v>1179080</v>
      </c>
    </row>
    <row r="200" spans="1:9" x14ac:dyDescent="0.25">
      <c r="A200">
        <v>199</v>
      </c>
      <c r="B200" t="s">
        <v>1969</v>
      </c>
      <c r="C200" t="s">
        <v>812</v>
      </c>
      <c r="D200" t="s">
        <v>1970</v>
      </c>
      <c r="E200" t="s">
        <v>1971</v>
      </c>
      <c r="F200">
        <v>29</v>
      </c>
      <c r="G200">
        <v>-1</v>
      </c>
      <c r="H200">
        <v>1369</v>
      </c>
      <c r="I200">
        <v>1176906</v>
      </c>
    </row>
    <row r="201" spans="1:9" x14ac:dyDescent="0.25">
      <c r="A201">
        <v>200</v>
      </c>
      <c r="B201" t="s">
        <v>4708</v>
      </c>
      <c r="C201" t="s">
        <v>4709</v>
      </c>
      <c r="D201" t="s">
        <v>4710</v>
      </c>
      <c r="E201" t="s">
        <v>4711</v>
      </c>
      <c r="F201">
        <v>16</v>
      </c>
      <c r="G201">
        <v>-1</v>
      </c>
      <c r="H201">
        <v>863</v>
      </c>
      <c r="I201">
        <v>1175520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4698D-8427-44DB-9E3A-8BE68A0C8E13}">
  <sheetPr codeName="Planilha7"/>
  <dimension ref="A1:F201"/>
  <sheetViews>
    <sheetView showGridLines="0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44.5703125" bestFit="1" customWidth="1"/>
    <col min="4" max="4" width="12.5703125" bestFit="1" customWidth="1"/>
    <col min="5" max="5" width="16" bestFit="1" customWidth="1"/>
    <col min="6" max="6" width="16.14062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7</v>
      </c>
    </row>
    <row r="2" spans="1:6" x14ac:dyDescent="0.25">
      <c r="A2">
        <v>1</v>
      </c>
      <c r="B2" t="s">
        <v>572</v>
      </c>
      <c r="C2" t="s">
        <v>573</v>
      </c>
      <c r="D2">
        <v>1</v>
      </c>
      <c r="E2">
        <v>1</v>
      </c>
      <c r="F2">
        <v>1415</v>
      </c>
    </row>
    <row r="3" spans="1:6" x14ac:dyDescent="0.25">
      <c r="A3">
        <v>2</v>
      </c>
      <c r="B3" t="s">
        <v>1581</v>
      </c>
      <c r="C3" t="s">
        <v>1159</v>
      </c>
      <c r="D3">
        <v>1</v>
      </c>
      <c r="E3">
        <v>3</v>
      </c>
      <c r="F3">
        <v>1415</v>
      </c>
    </row>
    <row r="4" spans="1:6" x14ac:dyDescent="0.25">
      <c r="A4">
        <v>3</v>
      </c>
      <c r="B4" t="s">
        <v>856</v>
      </c>
      <c r="C4" t="s">
        <v>496</v>
      </c>
      <c r="D4">
        <v>1</v>
      </c>
      <c r="E4">
        <v>2</v>
      </c>
      <c r="F4">
        <v>721</v>
      </c>
    </row>
    <row r="5" spans="1:6" x14ac:dyDescent="0.25">
      <c r="A5">
        <v>4</v>
      </c>
      <c r="B5" t="s">
        <v>815</v>
      </c>
      <c r="C5" t="s">
        <v>816</v>
      </c>
      <c r="D5">
        <v>1</v>
      </c>
      <c r="E5">
        <v>4</v>
      </c>
      <c r="F5">
        <v>1415</v>
      </c>
    </row>
    <row r="6" spans="1:6" x14ac:dyDescent="0.25">
      <c r="A6">
        <v>5</v>
      </c>
      <c r="B6" t="s">
        <v>627</v>
      </c>
      <c r="C6" t="s">
        <v>628</v>
      </c>
      <c r="D6">
        <v>1</v>
      </c>
      <c r="E6">
        <v>5</v>
      </c>
      <c r="F6">
        <v>1415</v>
      </c>
    </row>
    <row r="7" spans="1:6" x14ac:dyDescent="0.25">
      <c r="A7">
        <v>6</v>
      </c>
      <c r="B7" t="s">
        <v>1582</v>
      </c>
      <c r="C7" t="s">
        <v>1583</v>
      </c>
      <c r="D7">
        <v>4</v>
      </c>
      <c r="E7">
        <v>6</v>
      </c>
      <c r="F7">
        <v>75</v>
      </c>
    </row>
    <row r="8" spans="1:6" x14ac:dyDescent="0.25">
      <c r="A8">
        <v>7</v>
      </c>
      <c r="B8" t="s">
        <v>1584</v>
      </c>
      <c r="C8" t="s">
        <v>1177</v>
      </c>
      <c r="D8">
        <v>5</v>
      </c>
      <c r="E8">
        <v>7</v>
      </c>
      <c r="F8">
        <v>1010</v>
      </c>
    </row>
    <row r="9" spans="1:6" x14ac:dyDescent="0.25">
      <c r="A9">
        <v>8</v>
      </c>
      <c r="B9" t="s">
        <v>619</v>
      </c>
      <c r="C9" t="s">
        <v>620</v>
      </c>
      <c r="D9">
        <v>1</v>
      </c>
      <c r="E9">
        <v>8</v>
      </c>
      <c r="F9">
        <v>1415</v>
      </c>
    </row>
    <row r="10" spans="1:6" x14ac:dyDescent="0.25">
      <c r="A10">
        <v>9</v>
      </c>
      <c r="B10" t="s">
        <v>696</v>
      </c>
      <c r="C10" t="s">
        <v>697</v>
      </c>
      <c r="D10">
        <v>2</v>
      </c>
      <c r="E10">
        <v>9</v>
      </c>
      <c r="F10">
        <v>1415</v>
      </c>
    </row>
    <row r="11" spans="1:6" x14ac:dyDescent="0.25">
      <c r="A11">
        <v>10</v>
      </c>
      <c r="B11" t="s">
        <v>708</v>
      </c>
      <c r="C11" t="s">
        <v>481</v>
      </c>
      <c r="D11">
        <v>2</v>
      </c>
      <c r="E11">
        <v>10</v>
      </c>
      <c r="F11">
        <v>1415</v>
      </c>
    </row>
    <row r="12" spans="1:6" x14ac:dyDescent="0.25">
      <c r="A12">
        <v>11</v>
      </c>
      <c r="B12" t="s">
        <v>1585</v>
      </c>
      <c r="C12" t="s">
        <v>1586</v>
      </c>
      <c r="D12">
        <v>6</v>
      </c>
      <c r="E12">
        <v>11</v>
      </c>
      <c r="F12">
        <v>1415</v>
      </c>
    </row>
    <row r="13" spans="1:6" x14ac:dyDescent="0.25">
      <c r="A13">
        <v>12</v>
      </c>
      <c r="B13" t="s">
        <v>640</v>
      </c>
      <c r="C13" t="s">
        <v>641</v>
      </c>
      <c r="D13">
        <v>2</v>
      </c>
      <c r="E13">
        <v>13</v>
      </c>
      <c r="F13">
        <v>1415</v>
      </c>
    </row>
    <row r="14" spans="1:6" x14ac:dyDescent="0.25">
      <c r="A14">
        <v>13</v>
      </c>
      <c r="B14" t="s">
        <v>634</v>
      </c>
      <c r="C14" t="s">
        <v>635</v>
      </c>
      <c r="D14">
        <v>2</v>
      </c>
      <c r="E14">
        <v>14</v>
      </c>
      <c r="F14">
        <v>1415</v>
      </c>
    </row>
    <row r="15" spans="1:6" x14ac:dyDescent="0.25">
      <c r="A15">
        <v>14</v>
      </c>
      <c r="B15" t="s">
        <v>738</v>
      </c>
      <c r="C15" t="s">
        <v>739</v>
      </c>
      <c r="D15">
        <v>1</v>
      </c>
      <c r="E15">
        <v>12</v>
      </c>
      <c r="F15">
        <v>1415</v>
      </c>
    </row>
    <row r="16" spans="1:6" x14ac:dyDescent="0.25">
      <c r="A16">
        <v>15</v>
      </c>
      <c r="B16" t="s">
        <v>655</v>
      </c>
      <c r="C16" t="s">
        <v>511</v>
      </c>
      <c r="D16">
        <v>7</v>
      </c>
      <c r="E16">
        <v>16</v>
      </c>
      <c r="F16">
        <v>1415</v>
      </c>
    </row>
    <row r="17" spans="1:6" x14ac:dyDescent="0.25">
      <c r="A17">
        <v>16</v>
      </c>
      <c r="B17" t="s">
        <v>1587</v>
      </c>
      <c r="C17" t="s">
        <v>1588</v>
      </c>
      <c r="D17">
        <v>10</v>
      </c>
      <c r="E17">
        <v>15</v>
      </c>
      <c r="F17">
        <v>72</v>
      </c>
    </row>
    <row r="18" spans="1:6" x14ac:dyDescent="0.25">
      <c r="A18">
        <v>17</v>
      </c>
      <c r="B18" t="s">
        <v>1591</v>
      </c>
      <c r="C18" t="s">
        <v>1201</v>
      </c>
      <c r="D18">
        <v>9</v>
      </c>
      <c r="E18">
        <v>17</v>
      </c>
      <c r="F18">
        <v>252</v>
      </c>
    </row>
    <row r="19" spans="1:6" x14ac:dyDescent="0.25">
      <c r="A19">
        <v>18</v>
      </c>
      <c r="B19" t="s">
        <v>1589</v>
      </c>
      <c r="C19" t="s">
        <v>1590</v>
      </c>
      <c r="D19">
        <v>1</v>
      </c>
      <c r="E19">
        <v>18</v>
      </c>
      <c r="F19">
        <v>1415</v>
      </c>
    </row>
    <row r="20" spans="1:6" x14ac:dyDescent="0.25">
      <c r="A20">
        <v>19</v>
      </c>
      <c r="B20" t="s">
        <v>722</v>
      </c>
      <c r="C20" t="s">
        <v>723</v>
      </c>
      <c r="D20">
        <v>1</v>
      </c>
      <c r="E20">
        <v>21</v>
      </c>
      <c r="F20">
        <v>1415</v>
      </c>
    </row>
    <row r="21" spans="1:6" x14ac:dyDescent="0.25">
      <c r="A21">
        <v>20</v>
      </c>
      <c r="B21" t="s">
        <v>1601</v>
      </c>
      <c r="C21" t="s">
        <v>1500</v>
      </c>
      <c r="D21">
        <v>1</v>
      </c>
      <c r="E21">
        <v>20</v>
      </c>
      <c r="F21">
        <v>1415</v>
      </c>
    </row>
    <row r="22" spans="1:6" x14ac:dyDescent="0.25">
      <c r="A22">
        <v>21</v>
      </c>
      <c r="B22" t="s">
        <v>1611</v>
      </c>
      <c r="C22" t="s">
        <v>1612</v>
      </c>
      <c r="D22">
        <v>5</v>
      </c>
      <c r="E22">
        <v>19</v>
      </c>
      <c r="F22">
        <v>1251</v>
      </c>
    </row>
    <row r="23" spans="1:6" x14ac:dyDescent="0.25">
      <c r="A23">
        <v>22</v>
      </c>
      <c r="B23" t="s">
        <v>610</v>
      </c>
      <c r="C23" t="s">
        <v>329</v>
      </c>
      <c r="D23">
        <v>3</v>
      </c>
      <c r="E23">
        <v>23</v>
      </c>
      <c r="F23">
        <v>1415</v>
      </c>
    </row>
    <row r="24" spans="1:6" x14ac:dyDescent="0.25">
      <c r="A24">
        <v>23</v>
      </c>
      <c r="B24" t="s">
        <v>1598</v>
      </c>
      <c r="C24" t="s">
        <v>1599</v>
      </c>
      <c r="D24">
        <v>11</v>
      </c>
      <c r="E24">
        <v>22</v>
      </c>
      <c r="F24">
        <v>1415</v>
      </c>
    </row>
    <row r="25" spans="1:6" x14ac:dyDescent="0.25">
      <c r="A25">
        <v>24</v>
      </c>
      <c r="B25" t="s">
        <v>709</v>
      </c>
      <c r="C25" t="s">
        <v>710</v>
      </c>
      <c r="D25">
        <v>5</v>
      </c>
      <c r="E25">
        <v>25</v>
      </c>
      <c r="F25">
        <v>1415</v>
      </c>
    </row>
    <row r="26" spans="1:6" x14ac:dyDescent="0.25">
      <c r="A26">
        <v>25</v>
      </c>
      <c r="B26" t="s">
        <v>1602</v>
      </c>
      <c r="C26" t="s">
        <v>1603</v>
      </c>
      <c r="D26">
        <v>2</v>
      </c>
      <c r="E26">
        <v>24</v>
      </c>
      <c r="F26">
        <v>1415</v>
      </c>
    </row>
    <row r="27" spans="1:6" x14ac:dyDescent="0.25">
      <c r="A27">
        <v>26</v>
      </c>
      <c r="B27" t="s">
        <v>1592</v>
      </c>
      <c r="C27" t="s">
        <v>1593</v>
      </c>
      <c r="D27">
        <v>14</v>
      </c>
      <c r="E27">
        <v>26</v>
      </c>
      <c r="F27">
        <v>74</v>
      </c>
    </row>
    <row r="28" spans="1:6" x14ac:dyDescent="0.25">
      <c r="A28">
        <v>27</v>
      </c>
      <c r="B28" t="s">
        <v>1607</v>
      </c>
      <c r="C28" t="s">
        <v>1608</v>
      </c>
      <c r="D28">
        <v>1</v>
      </c>
      <c r="E28">
        <v>29</v>
      </c>
      <c r="F28">
        <v>1415</v>
      </c>
    </row>
    <row r="29" spans="1:6" x14ac:dyDescent="0.25">
      <c r="A29">
        <v>28</v>
      </c>
      <c r="B29" t="s">
        <v>1594</v>
      </c>
      <c r="C29" t="s">
        <v>1595</v>
      </c>
      <c r="D29">
        <v>15</v>
      </c>
      <c r="E29">
        <v>27</v>
      </c>
      <c r="F29">
        <v>74</v>
      </c>
    </row>
    <row r="30" spans="1:6" x14ac:dyDescent="0.25">
      <c r="A30">
        <v>29</v>
      </c>
      <c r="B30" t="s">
        <v>1596</v>
      </c>
      <c r="C30" t="s">
        <v>1597</v>
      </c>
      <c r="D30">
        <v>17</v>
      </c>
      <c r="E30">
        <v>28</v>
      </c>
      <c r="F30">
        <v>74</v>
      </c>
    </row>
    <row r="31" spans="1:6" x14ac:dyDescent="0.25">
      <c r="A31">
        <v>30</v>
      </c>
      <c r="B31" t="s">
        <v>862</v>
      </c>
      <c r="C31" t="s">
        <v>863</v>
      </c>
      <c r="D31">
        <v>1</v>
      </c>
      <c r="E31">
        <v>30</v>
      </c>
      <c r="F31">
        <v>1415</v>
      </c>
    </row>
    <row r="32" spans="1:6" x14ac:dyDescent="0.25">
      <c r="A32">
        <v>31</v>
      </c>
      <c r="B32" t="s">
        <v>1600</v>
      </c>
      <c r="C32" t="s">
        <v>1324</v>
      </c>
      <c r="D32">
        <v>3</v>
      </c>
      <c r="E32">
        <v>31</v>
      </c>
      <c r="F32">
        <v>1415</v>
      </c>
    </row>
    <row r="33" spans="1:6" x14ac:dyDescent="0.25">
      <c r="A33">
        <v>32</v>
      </c>
      <c r="B33" t="s">
        <v>1613</v>
      </c>
      <c r="C33" t="s">
        <v>1377</v>
      </c>
      <c r="D33">
        <v>7</v>
      </c>
      <c r="E33">
        <v>32</v>
      </c>
      <c r="F33">
        <v>1070</v>
      </c>
    </row>
    <row r="34" spans="1:6" x14ac:dyDescent="0.25">
      <c r="A34">
        <v>33</v>
      </c>
      <c r="B34" t="s">
        <v>811</v>
      </c>
      <c r="C34" t="s">
        <v>812</v>
      </c>
      <c r="D34">
        <v>1</v>
      </c>
      <c r="E34">
        <v>34</v>
      </c>
      <c r="F34">
        <v>1415</v>
      </c>
    </row>
    <row r="35" spans="1:6" x14ac:dyDescent="0.25">
      <c r="A35">
        <v>34</v>
      </c>
      <c r="B35" t="s">
        <v>1614</v>
      </c>
      <c r="C35" t="s">
        <v>1615</v>
      </c>
      <c r="D35">
        <v>1</v>
      </c>
      <c r="E35">
        <v>33</v>
      </c>
      <c r="F35">
        <v>1415</v>
      </c>
    </row>
    <row r="36" spans="1:6" x14ac:dyDescent="0.25">
      <c r="A36">
        <v>35</v>
      </c>
      <c r="B36" t="s">
        <v>1624</v>
      </c>
      <c r="C36" t="s">
        <v>1288</v>
      </c>
      <c r="D36">
        <v>1</v>
      </c>
      <c r="E36">
        <v>35</v>
      </c>
      <c r="F36">
        <v>1415</v>
      </c>
    </row>
    <row r="37" spans="1:6" x14ac:dyDescent="0.25">
      <c r="A37">
        <v>36</v>
      </c>
      <c r="B37" t="s">
        <v>1604</v>
      </c>
      <c r="C37" t="s">
        <v>266</v>
      </c>
      <c r="D37">
        <v>20</v>
      </c>
      <c r="E37">
        <v>36</v>
      </c>
      <c r="F37">
        <v>148</v>
      </c>
    </row>
    <row r="38" spans="1:6" x14ac:dyDescent="0.25">
      <c r="A38">
        <v>37</v>
      </c>
      <c r="B38" t="s">
        <v>1605</v>
      </c>
      <c r="C38" t="s">
        <v>1606</v>
      </c>
      <c r="D38">
        <v>12</v>
      </c>
      <c r="E38">
        <v>38</v>
      </c>
      <c r="F38">
        <v>396</v>
      </c>
    </row>
    <row r="39" spans="1:6" x14ac:dyDescent="0.25">
      <c r="A39">
        <v>38</v>
      </c>
      <c r="B39" t="s">
        <v>1609</v>
      </c>
      <c r="C39" t="s">
        <v>1610</v>
      </c>
      <c r="D39">
        <v>2</v>
      </c>
      <c r="E39">
        <v>39</v>
      </c>
      <c r="F39">
        <v>987</v>
      </c>
    </row>
    <row r="40" spans="1:6" x14ac:dyDescent="0.25">
      <c r="A40">
        <v>39</v>
      </c>
      <c r="B40" t="s">
        <v>1626</v>
      </c>
      <c r="C40" t="s">
        <v>1627</v>
      </c>
      <c r="D40">
        <v>1</v>
      </c>
      <c r="E40">
        <v>37</v>
      </c>
      <c r="F40">
        <v>1415</v>
      </c>
    </row>
    <row r="41" spans="1:6" x14ac:dyDescent="0.25">
      <c r="A41">
        <v>40</v>
      </c>
      <c r="B41" t="s">
        <v>744</v>
      </c>
      <c r="C41" t="s">
        <v>745</v>
      </c>
      <c r="D41">
        <v>7</v>
      </c>
      <c r="E41">
        <v>41</v>
      </c>
      <c r="F41">
        <v>1415</v>
      </c>
    </row>
    <row r="42" spans="1:6" x14ac:dyDescent="0.25">
      <c r="A42">
        <v>41</v>
      </c>
      <c r="B42" t="s">
        <v>1616</v>
      </c>
      <c r="C42" t="s">
        <v>1617</v>
      </c>
      <c r="D42">
        <v>5</v>
      </c>
      <c r="E42">
        <v>40</v>
      </c>
      <c r="F42">
        <v>1279</v>
      </c>
    </row>
    <row r="43" spans="1:6" x14ac:dyDescent="0.25">
      <c r="A43">
        <v>42</v>
      </c>
      <c r="B43" t="s">
        <v>1625</v>
      </c>
      <c r="C43" t="s">
        <v>1285</v>
      </c>
      <c r="D43">
        <v>11</v>
      </c>
      <c r="E43">
        <v>43</v>
      </c>
      <c r="F43">
        <v>390</v>
      </c>
    </row>
    <row r="44" spans="1:6" x14ac:dyDescent="0.25">
      <c r="A44">
        <v>43</v>
      </c>
      <c r="B44" t="s">
        <v>826</v>
      </c>
      <c r="C44" t="s">
        <v>827</v>
      </c>
      <c r="D44">
        <v>15</v>
      </c>
      <c r="E44">
        <v>42</v>
      </c>
      <c r="F44">
        <v>1415</v>
      </c>
    </row>
    <row r="45" spans="1:6" x14ac:dyDescent="0.25">
      <c r="A45">
        <v>44</v>
      </c>
      <c r="B45" t="s">
        <v>1628</v>
      </c>
      <c r="C45" t="s">
        <v>1629</v>
      </c>
      <c r="D45">
        <v>2</v>
      </c>
      <c r="E45">
        <v>46</v>
      </c>
      <c r="F45">
        <v>1415</v>
      </c>
    </row>
    <row r="46" spans="1:6" x14ac:dyDescent="0.25">
      <c r="A46">
        <v>45</v>
      </c>
      <c r="B46" t="s">
        <v>1620</v>
      </c>
      <c r="C46" t="s">
        <v>1621</v>
      </c>
      <c r="D46">
        <v>9</v>
      </c>
      <c r="E46">
        <v>47</v>
      </c>
      <c r="F46">
        <v>1415</v>
      </c>
    </row>
    <row r="47" spans="1:6" x14ac:dyDescent="0.25">
      <c r="A47">
        <v>46</v>
      </c>
      <c r="B47" t="s">
        <v>1631</v>
      </c>
      <c r="C47" t="s">
        <v>1632</v>
      </c>
      <c r="D47">
        <v>11</v>
      </c>
      <c r="E47">
        <v>44</v>
      </c>
      <c r="F47">
        <v>1415</v>
      </c>
    </row>
    <row r="48" spans="1:6" x14ac:dyDescent="0.25">
      <c r="A48">
        <v>47</v>
      </c>
      <c r="B48" t="s">
        <v>1618</v>
      </c>
      <c r="C48" t="s">
        <v>1619</v>
      </c>
      <c r="D48">
        <v>6</v>
      </c>
      <c r="E48">
        <v>45</v>
      </c>
      <c r="F48">
        <v>1065</v>
      </c>
    </row>
    <row r="49" spans="1:6" x14ac:dyDescent="0.25">
      <c r="A49">
        <v>48</v>
      </c>
      <c r="B49" t="s">
        <v>1656</v>
      </c>
      <c r="C49" t="s">
        <v>1220</v>
      </c>
      <c r="D49">
        <v>48</v>
      </c>
      <c r="E49">
        <v>50</v>
      </c>
      <c r="F49">
        <v>1034</v>
      </c>
    </row>
    <row r="50" spans="1:6" x14ac:dyDescent="0.25">
      <c r="A50">
        <v>49</v>
      </c>
      <c r="B50" t="s">
        <v>1638</v>
      </c>
      <c r="C50" t="s">
        <v>1639</v>
      </c>
      <c r="D50">
        <v>5</v>
      </c>
      <c r="E50">
        <v>48</v>
      </c>
      <c r="F50">
        <v>1415</v>
      </c>
    </row>
    <row r="51" spans="1:6" x14ac:dyDescent="0.25">
      <c r="A51">
        <v>50</v>
      </c>
      <c r="B51" t="s">
        <v>1622</v>
      </c>
      <c r="C51" t="s">
        <v>1623</v>
      </c>
      <c r="D51">
        <v>36</v>
      </c>
      <c r="E51">
        <v>49</v>
      </c>
      <c r="F51">
        <v>1153</v>
      </c>
    </row>
    <row r="52" spans="1:6" x14ac:dyDescent="0.25">
      <c r="A52">
        <v>51</v>
      </c>
      <c r="B52" t="s">
        <v>1633</v>
      </c>
      <c r="C52" t="s">
        <v>107</v>
      </c>
      <c r="D52">
        <v>10</v>
      </c>
      <c r="E52">
        <v>51</v>
      </c>
      <c r="F52">
        <v>210</v>
      </c>
    </row>
    <row r="53" spans="1:6" x14ac:dyDescent="0.25">
      <c r="A53">
        <v>52</v>
      </c>
      <c r="B53" t="s">
        <v>1634</v>
      </c>
      <c r="C53" t="s">
        <v>1635</v>
      </c>
      <c r="D53">
        <v>4</v>
      </c>
      <c r="E53">
        <v>53</v>
      </c>
      <c r="F53">
        <v>1415</v>
      </c>
    </row>
    <row r="54" spans="1:6" x14ac:dyDescent="0.25">
      <c r="A54">
        <v>53</v>
      </c>
      <c r="B54" t="s">
        <v>1084</v>
      </c>
      <c r="C54" t="s">
        <v>1059</v>
      </c>
      <c r="D54">
        <v>6</v>
      </c>
      <c r="E54">
        <v>52</v>
      </c>
      <c r="F54">
        <v>1415</v>
      </c>
    </row>
    <row r="55" spans="1:6" x14ac:dyDescent="0.25">
      <c r="A55">
        <v>54</v>
      </c>
      <c r="B55" t="s">
        <v>813</v>
      </c>
      <c r="C55" t="s">
        <v>814</v>
      </c>
      <c r="D55">
        <v>26</v>
      </c>
      <c r="E55">
        <v>60</v>
      </c>
      <c r="F55">
        <v>1415</v>
      </c>
    </row>
    <row r="56" spans="1:6" x14ac:dyDescent="0.25">
      <c r="A56">
        <v>55</v>
      </c>
      <c r="B56" t="s">
        <v>1652</v>
      </c>
      <c r="C56" t="s">
        <v>1653</v>
      </c>
      <c r="D56">
        <v>1</v>
      </c>
      <c r="E56">
        <v>56</v>
      </c>
      <c r="F56">
        <v>1415</v>
      </c>
    </row>
    <row r="57" spans="1:6" x14ac:dyDescent="0.25">
      <c r="A57">
        <v>56</v>
      </c>
      <c r="B57" t="s">
        <v>1636</v>
      </c>
      <c r="C57" t="s">
        <v>1637</v>
      </c>
      <c r="D57">
        <v>12</v>
      </c>
      <c r="E57">
        <v>54</v>
      </c>
      <c r="F57">
        <v>1415</v>
      </c>
    </row>
    <row r="58" spans="1:6" x14ac:dyDescent="0.25">
      <c r="A58">
        <v>57</v>
      </c>
      <c r="B58" t="s">
        <v>1083</v>
      </c>
      <c r="C58" t="s">
        <v>1063</v>
      </c>
      <c r="D58">
        <v>8</v>
      </c>
      <c r="E58">
        <v>55</v>
      </c>
      <c r="F58">
        <v>1331</v>
      </c>
    </row>
    <row r="59" spans="1:6" x14ac:dyDescent="0.25">
      <c r="A59">
        <v>58</v>
      </c>
      <c r="B59" t="s">
        <v>724</v>
      </c>
      <c r="C59" t="s">
        <v>725</v>
      </c>
      <c r="D59">
        <v>2</v>
      </c>
      <c r="E59">
        <v>59</v>
      </c>
      <c r="F59">
        <v>1415</v>
      </c>
    </row>
    <row r="60" spans="1:6" x14ac:dyDescent="0.25">
      <c r="A60">
        <v>59</v>
      </c>
      <c r="B60" t="s">
        <v>1640</v>
      </c>
      <c r="C60" t="s">
        <v>1641</v>
      </c>
      <c r="D60">
        <v>3</v>
      </c>
      <c r="E60">
        <v>57</v>
      </c>
      <c r="F60">
        <v>1197</v>
      </c>
    </row>
    <row r="61" spans="1:6" x14ac:dyDescent="0.25">
      <c r="A61">
        <v>60</v>
      </c>
      <c r="B61" t="s">
        <v>1642</v>
      </c>
      <c r="C61" t="s">
        <v>1643</v>
      </c>
      <c r="D61">
        <v>19</v>
      </c>
      <c r="E61">
        <v>62</v>
      </c>
      <c r="F61">
        <v>1256</v>
      </c>
    </row>
    <row r="62" spans="1:6" x14ac:dyDescent="0.25">
      <c r="A62">
        <v>61</v>
      </c>
      <c r="B62" t="s">
        <v>789</v>
      </c>
      <c r="C62" t="s">
        <v>790</v>
      </c>
      <c r="D62">
        <v>8</v>
      </c>
      <c r="E62">
        <v>61</v>
      </c>
      <c r="F62">
        <v>1415</v>
      </c>
    </row>
    <row r="63" spans="1:6" x14ac:dyDescent="0.25">
      <c r="A63">
        <v>62</v>
      </c>
      <c r="B63" t="s">
        <v>1650</v>
      </c>
      <c r="C63" t="s">
        <v>1651</v>
      </c>
      <c r="D63">
        <v>2</v>
      </c>
      <c r="E63">
        <v>58</v>
      </c>
      <c r="F63">
        <v>1415</v>
      </c>
    </row>
    <row r="64" spans="1:6" x14ac:dyDescent="0.25">
      <c r="A64">
        <v>63</v>
      </c>
      <c r="B64" t="s">
        <v>840</v>
      </c>
      <c r="C64" t="s">
        <v>841</v>
      </c>
      <c r="D64">
        <v>5</v>
      </c>
      <c r="E64">
        <v>64</v>
      </c>
      <c r="F64">
        <v>1415</v>
      </c>
    </row>
    <row r="65" spans="1:6" x14ac:dyDescent="0.25">
      <c r="A65">
        <v>64</v>
      </c>
      <c r="B65" t="s">
        <v>686</v>
      </c>
      <c r="C65" t="s">
        <v>687</v>
      </c>
      <c r="D65">
        <v>1</v>
      </c>
      <c r="E65">
        <v>69</v>
      </c>
      <c r="F65">
        <v>1415</v>
      </c>
    </row>
    <row r="66" spans="1:6" x14ac:dyDescent="0.25">
      <c r="A66">
        <v>65</v>
      </c>
      <c r="B66" t="s">
        <v>1644</v>
      </c>
      <c r="C66" t="s">
        <v>1645</v>
      </c>
      <c r="D66">
        <v>40</v>
      </c>
      <c r="E66">
        <v>63</v>
      </c>
      <c r="F66">
        <v>1381</v>
      </c>
    </row>
    <row r="67" spans="1:6" x14ac:dyDescent="0.25">
      <c r="A67">
        <v>66</v>
      </c>
      <c r="B67" t="s">
        <v>830</v>
      </c>
      <c r="C67" t="s">
        <v>831</v>
      </c>
      <c r="D67">
        <v>15</v>
      </c>
      <c r="E67">
        <v>68</v>
      </c>
      <c r="F67">
        <v>1415</v>
      </c>
    </row>
    <row r="68" spans="1:6" x14ac:dyDescent="0.25">
      <c r="A68">
        <v>67</v>
      </c>
      <c r="B68" t="s">
        <v>1657</v>
      </c>
      <c r="C68" t="s">
        <v>1658</v>
      </c>
      <c r="D68">
        <v>58</v>
      </c>
      <c r="E68">
        <v>65</v>
      </c>
      <c r="F68">
        <v>301</v>
      </c>
    </row>
    <row r="69" spans="1:6" x14ac:dyDescent="0.25">
      <c r="A69">
        <v>68</v>
      </c>
      <c r="B69" t="s">
        <v>859</v>
      </c>
      <c r="C69" t="s">
        <v>495</v>
      </c>
      <c r="D69">
        <v>5</v>
      </c>
      <c r="E69">
        <v>66</v>
      </c>
      <c r="F69">
        <v>1415</v>
      </c>
    </row>
    <row r="70" spans="1:6" x14ac:dyDescent="0.25">
      <c r="A70">
        <v>69</v>
      </c>
      <c r="B70" t="s">
        <v>1668</v>
      </c>
      <c r="C70" t="s">
        <v>1669</v>
      </c>
      <c r="D70">
        <v>26</v>
      </c>
      <c r="E70">
        <v>67</v>
      </c>
      <c r="F70">
        <v>66</v>
      </c>
    </row>
    <row r="71" spans="1:6" x14ac:dyDescent="0.25">
      <c r="A71">
        <v>70</v>
      </c>
      <c r="B71" t="s">
        <v>529</v>
      </c>
      <c r="C71" t="s">
        <v>43</v>
      </c>
      <c r="D71">
        <v>39</v>
      </c>
      <c r="E71">
        <v>74</v>
      </c>
      <c r="F71">
        <v>1398</v>
      </c>
    </row>
    <row r="72" spans="1:6" x14ac:dyDescent="0.25">
      <c r="A72">
        <v>71</v>
      </c>
      <c r="B72" t="s">
        <v>1654</v>
      </c>
      <c r="C72" t="s">
        <v>1655</v>
      </c>
      <c r="D72">
        <v>2</v>
      </c>
      <c r="E72">
        <v>72</v>
      </c>
      <c r="F72">
        <v>1415</v>
      </c>
    </row>
    <row r="73" spans="1:6" x14ac:dyDescent="0.25">
      <c r="A73">
        <v>72</v>
      </c>
      <c r="B73" t="s">
        <v>1687</v>
      </c>
      <c r="C73" t="s">
        <v>1688</v>
      </c>
      <c r="D73">
        <v>15</v>
      </c>
      <c r="E73">
        <v>70</v>
      </c>
      <c r="F73">
        <v>928</v>
      </c>
    </row>
    <row r="74" spans="1:6" x14ac:dyDescent="0.25">
      <c r="A74">
        <v>73</v>
      </c>
      <c r="B74" t="s">
        <v>1646</v>
      </c>
      <c r="C74" t="s">
        <v>1647</v>
      </c>
      <c r="D74">
        <v>54</v>
      </c>
      <c r="E74">
        <v>73</v>
      </c>
      <c r="F74">
        <v>72</v>
      </c>
    </row>
    <row r="75" spans="1:6" x14ac:dyDescent="0.25">
      <c r="A75">
        <v>74</v>
      </c>
      <c r="B75" t="s">
        <v>1670</v>
      </c>
      <c r="C75" t="s">
        <v>1671</v>
      </c>
      <c r="D75">
        <v>4</v>
      </c>
      <c r="E75">
        <v>71</v>
      </c>
      <c r="F75">
        <v>389</v>
      </c>
    </row>
    <row r="76" spans="1:6" x14ac:dyDescent="0.25">
      <c r="A76">
        <v>75</v>
      </c>
      <c r="B76" t="s">
        <v>1666</v>
      </c>
      <c r="C76" t="s">
        <v>1350</v>
      </c>
      <c r="D76">
        <v>25</v>
      </c>
      <c r="E76">
        <v>80</v>
      </c>
      <c r="F76">
        <v>1415</v>
      </c>
    </row>
    <row r="77" spans="1:6" x14ac:dyDescent="0.25">
      <c r="A77">
        <v>76</v>
      </c>
      <c r="B77" t="s">
        <v>1707</v>
      </c>
      <c r="C77" t="s">
        <v>1142</v>
      </c>
      <c r="D77">
        <v>15</v>
      </c>
      <c r="E77">
        <v>79</v>
      </c>
      <c r="F77">
        <v>1336</v>
      </c>
    </row>
    <row r="78" spans="1:6" x14ac:dyDescent="0.25">
      <c r="A78">
        <v>77</v>
      </c>
      <c r="B78" t="s">
        <v>1660</v>
      </c>
      <c r="C78" t="s">
        <v>335</v>
      </c>
      <c r="D78">
        <v>18</v>
      </c>
      <c r="E78">
        <v>75</v>
      </c>
      <c r="F78">
        <v>585</v>
      </c>
    </row>
    <row r="79" spans="1:6" x14ac:dyDescent="0.25">
      <c r="A79">
        <v>78</v>
      </c>
      <c r="B79" t="s">
        <v>1689</v>
      </c>
      <c r="C79" t="s">
        <v>1690</v>
      </c>
      <c r="D79">
        <v>2</v>
      </c>
      <c r="E79">
        <v>76</v>
      </c>
      <c r="F79">
        <v>1298</v>
      </c>
    </row>
    <row r="80" spans="1:6" x14ac:dyDescent="0.25">
      <c r="A80">
        <v>79</v>
      </c>
      <c r="B80" t="s">
        <v>1664</v>
      </c>
      <c r="C80" t="s">
        <v>1665</v>
      </c>
      <c r="D80">
        <v>16</v>
      </c>
      <c r="E80">
        <v>78</v>
      </c>
      <c r="F80">
        <v>1415</v>
      </c>
    </row>
    <row r="81" spans="1:6" x14ac:dyDescent="0.25">
      <c r="A81">
        <v>80</v>
      </c>
      <c r="B81" t="s">
        <v>1674</v>
      </c>
      <c r="C81" t="s">
        <v>1675</v>
      </c>
      <c r="D81">
        <v>1</v>
      </c>
      <c r="E81">
        <v>81</v>
      </c>
      <c r="F81">
        <v>1415</v>
      </c>
    </row>
    <row r="82" spans="1:6" x14ac:dyDescent="0.25">
      <c r="A82">
        <v>81</v>
      </c>
      <c r="B82" t="s">
        <v>1780</v>
      </c>
      <c r="C82" t="s">
        <v>1781</v>
      </c>
      <c r="D82">
        <v>22</v>
      </c>
      <c r="E82">
        <v>88</v>
      </c>
      <c r="F82">
        <v>1370</v>
      </c>
    </row>
    <row r="83" spans="1:6" x14ac:dyDescent="0.25">
      <c r="A83">
        <v>82</v>
      </c>
      <c r="B83" t="s">
        <v>1747</v>
      </c>
      <c r="C83" t="s">
        <v>1748</v>
      </c>
      <c r="D83">
        <v>71</v>
      </c>
      <c r="E83">
        <v>77</v>
      </c>
      <c r="F83">
        <v>431</v>
      </c>
    </row>
    <row r="84" spans="1:6" x14ac:dyDescent="0.25">
      <c r="A84">
        <v>83</v>
      </c>
      <c r="B84" t="s">
        <v>1676</v>
      </c>
      <c r="C84" t="s">
        <v>1677</v>
      </c>
      <c r="D84">
        <v>40</v>
      </c>
      <c r="E84">
        <v>86</v>
      </c>
      <c r="F84">
        <v>1240</v>
      </c>
    </row>
    <row r="85" spans="1:6" x14ac:dyDescent="0.25">
      <c r="A85">
        <v>84</v>
      </c>
      <c r="B85" t="s">
        <v>1672</v>
      </c>
      <c r="C85" t="s">
        <v>1673</v>
      </c>
      <c r="D85">
        <v>8</v>
      </c>
      <c r="E85">
        <v>84</v>
      </c>
      <c r="F85">
        <v>984</v>
      </c>
    </row>
    <row r="86" spans="1:6" x14ac:dyDescent="0.25">
      <c r="A86">
        <v>85</v>
      </c>
      <c r="B86" t="s">
        <v>1723</v>
      </c>
      <c r="C86" t="s">
        <v>1282</v>
      </c>
      <c r="D86">
        <v>51</v>
      </c>
      <c r="E86">
        <v>85</v>
      </c>
      <c r="F86">
        <v>247</v>
      </c>
    </row>
    <row r="87" spans="1:6" x14ac:dyDescent="0.25">
      <c r="A87">
        <v>86</v>
      </c>
      <c r="B87" t="s">
        <v>1807</v>
      </c>
      <c r="C87" t="s">
        <v>1320</v>
      </c>
      <c r="D87">
        <v>86</v>
      </c>
      <c r="E87">
        <v>87</v>
      </c>
      <c r="F87">
        <v>17</v>
      </c>
    </row>
    <row r="88" spans="1:6" x14ac:dyDescent="0.25">
      <c r="A88">
        <v>87</v>
      </c>
      <c r="B88" t="s">
        <v>3796</v>
      </c>
      <c r="C88" t="s">
        <v>3797</v>
      </c>
      <c r="D88">
        <v>40</v>
      </c>
      <c r="E88">
        <v>89</v>
      </c>
      <c r="F88">
        <v>629</v>
      </c>
    </row>
    <row r="89" spans="1:6" x14ac:dyDescent="0.25">
      <c r="A89">
        <v>88</v>
      </c>
      <c r="B89" t="s">
        <v>1692</v>
      </c>
      <c r="C89" t="s">
        <v>1693</v>
      </c>
      <c r="D89">
        <v>20</v>
      </c>
      <c r="E89">
        <v>83</v>
      </c>
      <c r="F89">
        <v>1415</v>
      </c>
    </row>
    <row r="90" spans="1:6" x14ac:dyDescent="0.25">
      <c r="A90">
        <v>89</v>
      </c>
      <c r="B90" t="s">
        <v>1663</v>
      </c>
      <c r="C90" t="s">
        <v>1575</v>
      </c>
      <c r="D90">
        <v>34</v>
      </c>
      <c r="E90">
        <v>82</v>
      </c>
      <c r="F90">
        <v>1415</v>
      </c>
    </row>
    <row r="91" spans="1:6" x14ac:dyDescent="0.25">
      <c r="A91">
        <v>90</v>
      </c>
      <c r="B91" t="s">
        <v>1661</v>
      </c>
      <c r="C91" t="s">
        <v>1662</v>
      </c>
      <c r="D91">
        <v>76</v>
      </c>
      <c r="E91">
        <v>91</v>
      </c>
      <c r="F91">
        <v>423</v>
      </c>
    </row>
    <row r="92" spans="1:6" x14ac:dyDescent="0.25">
      <c r="A92">
        <v>91</v>
      </c>
      <c r="B92" t="s">
        <v>1716</v>
      </c>
      <c r="C92" t="s">
        <v>1362</v>
      </c>
      <c r="D92">
        <v>53</v>
      </c>
      <c r="E92">
        <v>97</v>
      </c>
      <c r="F92">
        <v>1169</v>
      </c>
    </row>
    <row r="93" spans="1:6" x14ac:dyDescent="0.25">
      <c r="A93">
        <v>92</v>
      </c>
      <c r="B93" t="s">
        <v>1678</v>
      </c>
      <c r="C93" t="s">
        <v>1679</v>
      </c>
      <c r="D93">
        <v>43</v>
      </c>
      <c r="E93">
        <v>100</v>
      </c>
      <c r="F93">
        <v>1401</v>
      </c>
    </row>
    <row r="94" spans="1:6" x14ac:dyDescent="0.25">
      <c r="A94">
        <v>93</v>
      </c>
      <c r="B94" t="s">
        <v>1734</v>
      </c>
      <c r="C94" t="s">
        <v>1735</v>
      </c>
      <c r="D94">
        <v>2</v>
      </c>
      <c r="E94">
        <v>93</v>
      </c>
      <c r="F94">
        <v>1415</v>
      </c>
    </row>
    <row r="95" spans="1:6" x14ac:dyDescent="0.25">
      <c r="A95">
        <v>94</v>
      </c>
      <c r="B95" t="s">
        <v>1682</v>
      </c>
      <c r="C95" t="s">
        <v>1683</v>
      </c>
      <c r="D95">
        <v>25</v>
      </c>
      <c r="E95">
        <v>92</v>
      </c>
      <c r="F95">
        <v>855</v>
      </c>
    </row>
    <row r="96" spans="1:6" x14ac:dyDescent="0.25">
      <c r="A96">
        <v>95</v>
      </c>
      <c r="B96" t="s">
        <v>1630</v>
      </c>
      <c r="C96" t="s">
        <v>1544</v>
      </c>
      <c r="D96">
        <v>32</v>
      </c>
      <c r="E96">
        <v>90</v>
      </c>
      <c r="F96">
        <v>444</v>
      </c>
    </row>
    <row r="97" spans="1:6" x14ac:dyDescent="0.25">
      <c r="A97">
        <v>96</v>
      </c>
      <c r="B97" t="s">
        <v>1694</v>
      </c>
      <c r="C97" t="s">
        <v>503</v>
      </c>
      <c r="D97">
        <v>79</v>
      </c>
      <c r="E97">
        <v>98</v>
      </c>
      <c r="F97">
        <v>77</v>
      </c>
    </row>
    <row r="98" spans="1:6" x14ac:dyDescent="0.25">
      <c r="A98">
        <v>97</v>
      </c>
      <c r="B98" t="s">
        <v>1719</v>
      </c>
      <c r="C98" t="s">
        <v>1720</v>
      </c>
      <c r="D98">
        <v>8</v>
      </c>
      <c r="E98">
        <v>103</v>
      </c>
      <c r="F98">
        <v>1180</v>
      </c>
    </row>
    <row r="99" spans="1:6" x14ac:dyDescent="0.25">
      <c r="A99">
        <v>98</v>
      </c>
      <c r="B99" t="s">
        <v>1667</v>
      </c>
      <c r="C99" t="s">
        <v>1205</v>
      </c>
      <c r="D99">
        <v>48</v>
      </c>
      <c r="E99">
        <v>102</v>
      </c>
      <c r="F99">
        <v>1290</v>
      </c>
    </row>
    <row r="100" spans="1:6" x14ac:dyDescent="0.25">
      <c r="A100">
        <v>99</v>
      </c>
      <c r="B100" t="s">
        <v>530</v>
      </c>
      <c r="C100" t="s">
        <v>33</v>
      </c>
      <c r="D100">
        <v>48</v>
      </c>
      <c r="E100">
        <v>113</v>
      </c>
      <c r="F100">
        <v>145</v>
      </c>
    </row>
    <row r="101" spans="1:6" x14ac:dyDescent="0.25">
      <c r="A101">
        <v>100</v>
      </c>
      <c r="B101" t="s">
        <v>1686</v>
      </c>
      <c r="C101" t="s">
        <v>381</v>
      </c>
      <c r="D101">
        <v>32</v>
      </c>
      <c r="E101">
        <v>110</v>
      </c>
      <c r="F101">
        <v>594</v>
      </c>
    </row>
    <row r="102" spans="1:6" x14ac:dyDescent="0.25">
      <c r="A102">
        <v>101</v>
      </c>
      <c r="B102" t="s">
        <v>1714</v>
      </c>
      <c r="C102" t="s">
        <v>1715</v>
      </c>
      <c r="D102">
        <v>2</v>
      </c>
      <c r="E102">
        <v>94</v>
      </c>
      <c r="F102">
        <v>1415</v>
      </c>
    </row>
    <row r="103" spans="1:6" x14ac:dyDescent="0.25">
      <c r="A103">
        <v>102</v>
      </c>
      <c r="B103" t="s">
        <v>1774</v>
      </c>
      <c r="C103" t="s">
        <v>339</v>
      </c>
      <c r="D103">
        <v>30</v>
      </c>
      <c r="E103">
        <v>99</v>
      </c>
      <c r="F103">
        <v>1415</v>
      </c>
    </row>
    <row r="104" spans="1:6" x14ac:dyDescent="0.25">
      <c r="A104">
        <v>103</v>
      </c>
      <c r="B104" t="s">
        <v>1659</v>
      </c>
      <c r="C104" t="s">
        <v>912</v>
      </c>
      <c r="D104">
        <v>20</v>
      </c>
      <c r="E104">
        <v>95</v>
      </c>
      <c r="F104">
        <v>509</v>
      </c>
    </row>
    <row r="105" spans="1:6" x14ac:dyDescent="0.25">
      <c r="A105">
        <v>104</v>
      </c>
      <c r="B105" t="s">
        <v>1724</v>
      </c>
      <c r="C105" t="s">
        <v>1725</v>
      </c>
      <c r="D105">
        <v>1</v>
      </c>
      <c r="E105">
        <v>96</v>
      </c>
      <c r="F105">
        <v>1415</v>
      </c>
    </row>
    <row r="106" spans="1:6" x14ac:dyDescent="0.25">
      <c r="A106">
        <v>105</v>
      </c>
      <c r="B106" t="s">
        <v>1727</v>
      </c>
      <c r="C106" t="s">
        <v>1728</v>
      </c>
      <c r="D106">
        <v>3</v>
      </c>
      <c r="E106">
        <v>104</v>
      </c>
      <c r="F106">
        <v>1415</v>
      </c>
    </row>
    <row r="107" spans="1:6" x14ac:dyDescent="0.25">
      <c r="A107">
        <v>106</v>
      </c>
      <c r="B107" t="s">
        <v>1726</v>
      </c>
      <c r="C107" t="s">
        <v>1190</v>
      </c>
      <c r="D107">
        <v>17</v>
      </c>
      <c r="E107">
        <v>101</v>
      </c>
      <c r="F107">
        <v>446</v>
      </c>
    </row>
    <row r="108" spans="1:6" x14ac:dyDescent="0.25">
      <c r="A108">
        <v>107</v>
      </c>
      <c r="B108" t="s">
        <v>1712</v>
      </c>
      <c r="C108" t="s">
        <v>1713</v>
      </c>
      <c r="D108">
        <v>12</v>
      </c>
      <c r="E108">
        <v>108</v>
      </c>
      <c r="F108">
        <v>1410</v>
      </c>
    </row>
    <row r="109" spans="1:6" x14ac:dyDescent="0.25">
      <c r="A109">
        <v>108</v>
      </c>
      <c r="B109" t="s">
        <v>1740</v>
      </c>
      <c r="C109" t="s">
        <v>1741</v>
      </c>
      <c r="D109">
        <v>41</v>
      </c>
      <c r="E109">
        <v>105</v>
      </c>
      <c r="F109">
        <v>1412</v>
      </c>
    </row>
    <row r="110" spans="1:6" x14ac:dyDescent="0.25">
      <c r="A110">
        <v>109</v>
      </c>
      <c r="B110" t="s">
        <v>1684</v>
      </c>
      <c r="C110" t="s">
        <v>1685</v>
      </c>
      <c r="D110">
        <v>35</v>
      </c>
      <c r="E110">
        <v>112</v>
      </c>
      <c r="F110">
        <v>1415</v>
      </c>
    </row>
    <row r="111" spans="1:6" x14ac:dyDescent="0.25">
      <c r="A111">
        <v>110</v>
      </c>
      <c r="B111" t="s">
        <v>1648</v>
      </c>
      <c r="C111" t="s">
        <v>1649</v>
      </c>
      <c r="D111">
        <v>42</v>
      </c>
      <c r="E111">
        <v>106</v>
      </c>
      <c r="F111">
        <v>175</v>
      </c>
    </row>
    <row r="112" spans="1:6" x14ac:dyDescent="0.25">
      <c r="A112">
        <v>111</v>
      </c>
      <c r="B112" t="s">
        <v>1680</v>
      </c>
      <c r="C112" t="s">
        <v>1681</v>
      </c>
      <c r="D112">
        <v>19</v>
      </c>
      <c r="E112">
        <v>109</v>
      </c>
      <c r="F112">
        <v>1390</v>
      </c>
    </row>
    <row r="113" spans="1:6" x14ac:dyDescent="0.25">
      <c r="A113">
        <v>112</v>
      </c>
      <c r="B113" t="s">
        <v>857</v>
      </c>
      <c r="C113" t="s">
        <v>858</v>
      </c>
      <c r="D113">
        <v>18</v>
      </c>
      <c r="E113">
        <v>107</v>
      </c>
      <c r="F113">
        <v>1412</v>
      </c>
    </row>
    <row r="114" spans="1:6" x14ac:dyDescent="0.25">
      <c r="A114">
        <v>113</v>
      </c>
      <c r="B114" t="s">
        <v>1708</v>
      </c>
      <c r="C114" t="s">
        <v>1709</v>
      </c>
      <c r="D114">
        <v>37</v>
      </c>
      <c r="E114">
        <v>111</v>
      </c>
      <c r="F114">
        <v>623</v>
      </c>
    </row>
    <row r="115" spans="1:6" x14ac:dyDescent="0.25">
      <c r="A115">
        <v>114</v>
      </c>
      <c r="B115" t="s">
        <v>1729</v>
      </c>
      <c r="C115" t="s">
        <v>1730</v>
      </c>
      <c r="D115">
        <v>21</v>
      </c>
      <c r="E115">
        <v>117</v>
      </c>
      <c r="F115">
        <v>1369</v>
      </c>
    </row>
    <row r="116" spans="1:6" x14ac:dyDescent="0.25">
      <c r="A116">
        <v>115</v>
      </c>
      <c r="B116" t="s">
        <v>1691</v>
      </c>
      <c r="C116" t="s">
        <v>1194</v>
      </c>
      <c r="D116">
        <v>32</v>
      </c>
      <c r="E116">
        <v>114</v>
      </c>
      <c r="F116">
        <v>842</v>
      </c>
    </row>
    <row r="117" spans="1:6" x14ac:dyDescent="0.25">
      <c r="A117">
        <v>116</v>
      </c>
      <c r="B117" t="s">
        <v>1731</v>
      </c>
      <c r="C117" t="s">
        <v>1732</v>
      </c>
      <c r="D117">
        <v>32</v>
      </c>
      <c r="E117">
        <v>115</v>
      </c>
      <c r="F117">
        <v>1331</v>
      </c>
    </row>
    <row r="118" spans="1:6" x14ac:dyDescent="0.25">
      <c r="A118">
        <v>117</v>
      </c>
      <c r="B118" t="s">
        <v>1710</v>
      </c>
      <c r="C118" t="s">
        <v>1711</v>
      </c>
      <c r="D118">
        <v>24</v>
      </c>
      <c r="E118">
        <v>120</v>
      </c>
      <c r="F118">
        <v>1415</v>
      </c>
    </row>
    <row r="119" spans="1:6" x14ac:dyDescent="0.25">
      <c r="A119">
        <v>118</v>
      </c>
      <c r="B119" t="s">
        <v>1753</v>
      </c>
      <c r="C119" t="s">
        <v>1754</v>
      </c>
      <c r="D119">
        <v>39</v>
      </c>
      <c r="E119">
        <v>118</v>
      </c>
      <c r="F119">
        <v>1415</v>
      </c>
    </row>
    <row r="120" spans="1:6" x14ac:dyDescent="0.25">
      <c r="A120">
        <v>119</v>
      </c>
      <c r="B120" t="s">
        <v>1742</v>
      </c>
      <c r="C120" t="s">
        <v>1743</v>
      </c>
      <c r="D120">
        <v>5</v>
      </c>
      <c r="E120">
        <v>116</v>
      </c>
      <c r="F120">
        <v>1136</v>
      </c>
    </row>
    <row r="121" spans="1:6" x14ac:dyDescent="0.25">
      <c r="A121">
        <v>120</v>
      </c>
      <c r="B121" t="s">
        <v>1705</v>
      </c>
      <c r="C121" t="s">
        <v>1706</v>
      </c>
      <c r="D121">
        <v>86</v>
      </c>
      <c r="E121">
        <v>121</v>
      </c>
      <c r="F121">
        <v>1410</v>
      </c>
    </row>
    <row r="122" spans="1:6" x14ac:dyDescent="0.25">
      <c r="A122">
        <v>121</v>
      </c>
      <c r="B122" t="s">
        <v>1717</v>
      </c>
      <c r="C122" t="s">
        <v>1718</v>
      </c>
      <c r="D122">
        <v>60</v>
      </c>
      <c r="E122">
        <v>122</v>
      </c>
      <c r="F122">
        <v>513</v>
      </c>
    </row>
    <row r="123" spans="1:6" x14ac:dyDescent="0.25">
      <c r="A123">
        <v>122</v>
      </c>
      <c r="B123" t="s">
        <v>1759</v>
      </c>
      <c r="C123" t="s">
        <v>1760</v>
      </c>
      <c r="D123">
        <v>14</v>
      </c>
      <c r="E123">
        <v>119</v>
      </c>
      <c r="F123">
        <v>1415</v>
      </c>
    </row>
    <row r="124" spans="1:6" x14ac:dyDescent="0.25">
      <c r="A124">
        <v>123</v>
      </c>
      <c r="B124" t="s">
        <v>1733</v>
      </c>
      <c r="C124" t="s">
        <v>499</v>
      </c>
      <c r="D124">
        <v>2</v>
      </c>
      <c r="E124">
        <v>123</v>
      </c>
      <c r="F124">
        <v>1070</v>
      </c>
    </row>
    <row r="125" spans="1:6" x14ac:dyDescent="0.25">
      <c r="A125">
        <v>124</v>
      </c>
      <c r="B125" t="s">
        <v>1763</v>
      </c>
      <c r="C125" t="s">
        <v>1398</v>
      </c>
      <c r="D125">
        <v>19</v>
      </c>
      <c r="E125">
        <v>130</v>
      </c>
      <c r="F125">
        <v>111</v>
      </c>
    </row>
    <row r="126" spans="1:6" x14ac:dyDescent="0.25">
      <c r="A126">
        <v>125</v>
      </c>
      <c r="B126" t="s">
        <v>1744</v>
      </c>
      <c r="C126" t="s">
        <v>1745</v>
      </c>
      <c r="D126">
        <v>12</v>
      </c>
      <c r="E126">
        <v>125</v>
      </c>
      <c r="F126">
        <v>1415</v>
      </c>
    </row>
    <row r="127" spans="1:6" x14ac:dyDescent="0.25">
      <c r="A127">
        <v>126</v>
      </c>
      <c r="B127" t="s">
        <v>1703</v>
      </c>
      <c r="C127" t="s">
        <v>1704</v>
      </c>
      <c r="D127">
        <v>94</v>
      </c>
      <c r="E127">
        <v>124</v>
      </c>
      <c r="F127">
        <v>68</v>
      </c>
    </row>
    <row r="128" spans="1:6" x14ac:dyDescent="0.25">
      <c r="A128">
        <v>127</v>
      </c>
      <c r="B128" t="s">
        <v>1746</v>
      </c>
      <c r="C128" t="s">
        <v>1309</v>
      </c>
      <c r="D128">
        <v>70</v>
      </c>
      <c r="E128">
        <v>134</v>
      </c>
      <c r="F128">
        <v>1134</v>
      </c>
    </row>
    <row r="129" spans="1:6" x14ac:dyDescent="0.25">
      <c r="A129">
        <v>128</v>
      </c>
      <c r="B129" t="s">
        <v>1695</v>
      </c>
      <c r="C129" t="s">
        <v>1696</v>
      </c>
      <c r="D129">
        <v>90</v>
      </c>
      <c r="E129">
        <v>126</v>
      </c>
      <c r="F129">
        <v>68</v>
      </c>
    </row>
    <row r="130" spans="1:6" x14ac:dyDescent="0.25">
      <c r="A130">
        <v>129</v>
      </c>
      <c r="B130" t="s">
        <v>1697</v>
      </c>
      <c r="C130" t="s">
        <v>1698</v>
      </c>
      <c r="D130">
        <v>91</v>
      </c>
      <c r="E130">
        <v>127</v>
      </c>
      <c r="F130">
        <v>68</v>
      </c>
    </row>
    <row r="131" spans="1:6" x14ac:dyDescent="0.25">
      <c r="A131">
        <v>130</v>
      </c>
      <c r="B131" t="s">
        <v>1701</v>
      </c>
      <c r="C131" t="s">
        <v>1702</v>
      </c>
      <c r="D131">
        <v>93</v>
      </c>
      <c r="E131">
        <v>129</v>
      </c>
      <c r="F131">
        <v>68</v>
      </c>
    </row>
    <row r="132" spans="1:6" x14ac:dyDescent="0.25">
      <c r="A132">
        <v>131</v>
      </c>
      <c r="B132" t="s">
        <v>1699</v>
      </c>
      <c r="C132" t="s">
        <v>1700</v>
      </c>
      <c r="D132">
        <v>92</v>
      </c>
      <c r="E132">
        <v>128</v>
      </c>
      <c r="F132">
        <v>68</v>
      </c>
    </row>
    <row r="133" spans="1:6" x14ac:dyDescent="0.25">
      <c r="A133">
        <v>132</v>
      </c>
      <c r="B133" t="s">
        <v>1766</v>
      </c>
      <c r="C133" t="s">
        <v>1767</v>
      </c>
      <c r="D133">
        <v>85</v>
      </c>
      <c r="E133">
        <v>136</v>
      </c>
      <c r="F133">
        <v>286</v>
      </c>
    </row>
    <row r="134" spans="1:6" x14ac:dyDescent="0.25">
      <c r="A134">
        <v>133</v>
      </c>
      <c r="B134" t="s">
        <v>1738</v>
      </c>
      <c r="C134" t="s">
        <v>1739</v>
      </c>
      <c r="D134">
        <v>30</v>
      </c>
      <c r="E134">
        <v>131</v>
      </c>
      <c r="F134">
        <v>1415</v>
      </c>
    </row>
    <row r="135" spans="1:6" x14ac:dyDescent="0.25">
      <c r="A135">
        <v>134</v>
      </c>
      <c r="B135" t="s">
        <v>1787</v>
      </c>
      <c r="C135" t="s">
        <v>1788</v>
      </c>
      <c r="D135">
        <v>34</v>
      </c>
      <c r="E135">
        <v>133</v>
      </c>
      <c r="F135">
        <v>1411</v>
      </c>
    </row>
    <row r="136" spans="1:6" x14ac:dyDescent="0.25">
      <c r="A136">
        <v>135</v>
      </c>
      <c r="B136" t="s">
        <v>1751</v>
      </c>
      <c r="C136" t="s">
        <v>1752</v>
      </c>
      <c r="D136">
        <v>33</v>
      </c>
      <c r="E136">
        <v>138</v>
      </c>
      <c r="F136">
        <v>839</v>
      </c>
    </row>
    <row r="137" spans="1:6" x14ac:dyDescent="0.25">
      <c r="A137">
        <v>136</v>
      </c>
      <c r="B137" t="s">
        <v>1779</v>
      </c>
      <c r="C137" t="s">
        <v>1391</v>
      </c>
      <c r="D137">
        <v>24</v>
      </c>
      <c r="E137">
        <v>132</v>
      </c>
      <c r="F137">
        <v>879</v>
      </c>
    </row>
    <row r="138" spans="1:6" x14ac:dyDescent="0.25">
      <c r="A138">
        <v>137</v>
      </c>
      <c r="B138" t="s">
        <v>1792</v>
      </c>
      <c r="C138" t="s">
        <v>1793</v>
      </c>
      <c r="D138">
        <v>26</v>
      </c>
      <c r="E138">
        <v>141</v>
      </c>
      <c r="F138">
        <v>1317</v>
      </c>
    </row>
    <row r="139" spans="1:6" x14ac:dyDescent="0.25">
      <c r="A139">
        <v>138</v>
      </c>
      <c r="B139" t="s">
        <v>1755</v>
      </c>
      <c r="C139" t="s">
        <v>1756</v>
      </c>
      <c r="D139">
        <v>92</v>
      </c>
      <c r="E139">
        <v>139</v>
      </c>
      <c r="F139">
        <v>831</v>
      </c>
    </row>
    <row r="140" spans="1:6" x14ac:dyDescent="0.25">
      <c r="A140">
        <v>139</v>
      </c>
      <c r="B140" t="s">
        <v>1801</v>
      </c>
      <c r="C140" t="s">
        <v>1802</v>
      </c>
      <c r="D140">
        <v>59</v>
      </c>
      <c r="E140">
        <v>137</v>
      </c>
      <c r="F140">
        <v>967</v>
      </c>
    </row>
    <row r="141" spans="1:6" x14ac:dyDescent="0.25">
      <c r="A141">
        <v>140</v>
      </c>
      <c r="B141" t="s">
        <v>1797</v>
      </c>
      <c r="C141" t="s">
        <v>1798</v>
      </c>
      <c r="D141">
        <v>3</v>
      </c>
      <c r="E141">
        <v>144</v>
      </c>
      <c r="F141">
        <v>1415</v>
      </c>
    </row>
    <row r="142" spans="1:6" x14ac:dyDescent="0.25">
      <c r="A142">
        <v>141</v>
      </c>
      <c r="B142" t="s">
        <v>1770</v>
      </c>
      <c r="C142" t="s">
        <v>1771</v>
      </c>
      <c r="D142">
        <v>24</v>
      </c>
      <c r="E142">
        <v>140</v>
      </c>
      <c r="F142">
        <v>1415</v>
      </c>
    </row>
    <row r="143" spans="1:6" x14ac:dyDescent="0.25">
      <c r="A143">
        <v>142</v>
      </c>
      <c r="B143" t="s">
        <v>1789</v>
      </c>
      <c r="C143" t="s">
        <v>1301</v>
      </c>
      <c r="D143">
        <v>10</v>
      </c>
      <c r="E143">
        <v>143</v>
      </c>
      <c r="F143">
        <v>385</v>
      </c>
    </row>
    <row r="144" spans="1:6" x14ac:dyDescent="0.25">
      <c r="A144">
        <v>143</v>
      </c>
      <c r="B144" t="s">
        <v>1736</v>
      </c>
      <c r="C144" t="s">
        <v>1737</v>
      </c>
      <c r="D144">
        <v>93</v>
      </c>
      <c r="E144">
        <v>145</v>
      </c>
      <c r="F144">
        <v>347</v>
      </c>
    </row>
    <row r="145" spans="1:6" x14ac:dyDescent="0.25">
      <c r="A145">
        <v>144</v>
      </c>
      <c r="B145" t="s">
        <v>1772</v>
      </c>
      <c r="C145" t="s">
        <v>1773</v>
      </c>
      <c r="D145">
        <v>23</v>
      </c>
      <c r="E145">
        <v>142</v>
      </c>
      <c r="F145">
        <v>1163</v>
      </c>
    </row>
    <row r="146" spans="1:6" x14ac:dyDescent="0.25">
      <c r="A146">
        <v>145</v>
      </c>
      <c r="B146" t="s">
        <v>1761</v>
      </c>
      <c r="C146" t="s">
        <v>1762</v>
      </c>
      <c r="D146">
        <v>72</v>
      </c>
      <c r="E146">
        <v>149</v>
      </c>
      <c r="F146">
        <v>632</v>
      </c>
    </row>
    <row r="147" spans="1:6" x14ac:dyDescent="0.25">
      <c r="A147">
        <v>146</v>
      </c>
      <c r="B147" t="s">
        <v>1749</v>
      </c>
      <c r="C147" t="s">
        <v>1750</v>
      </c>
      <c r="D147">
        <v>31</v>
      </c>
      <c r="E147">
        <v>135</v>
      </c>
      <c r="F147">
        <v>896</v>
      </c>
    </row>
    <row r="148" spans="1:6" x14ac:dyDescent="0.25">
      <c r="A148">
        <v>147</v>
      </c>
      <c r="B148" t="s">
        <v>1777</v>
      </c>
      <c r="C148" t="s">
        <v>1778</v>
      </c>
      <c r="D148">
        <v>20</v>
      </c>
      <c r="E148">
        <v>151</v>
      </c>
      <c r="F148">
        <v>1037</v>
      </c>
    </row>
    <row r="149" spans="1:6" x14ac:dyDescent="0.25">
      <c r="A149">
        <v>148</v>
      </c>
      <c r="B149" t="s">
        <v>1764</v>
      </c>
      <c r="C149" t="s">
        <v>1765</v>
      </c>
      <c r="D149">
        <v>108</v>
      </c>
      <c r="E149">
        <v>147</v>
      </c>
      <c r="F149">
        <v>649</v>
      </c>
    </row>
    <row r="150" spans="1:6" x14ac:dyDescent="0.25">
      <c r="A150">
        <v>149</v>
      </c>
      <c r="B150" t="s">
        <v>1815</v>
      </c>
      <c r="C150" t="s">
        <v>1816</v>
      </c>
      <c r="D150">
        <v>56</v>
      </c>
      <c r="E150">
        <v>146</v>
      </c>
      <c r="F150">
        <v>1415</v>
      </c>
    </row>
    <row r="151" spans="1:6" x14ac:dyDescent="0.25">
      <c r="A151">
        <v>150</v>
      </c>
      <c r="B151" t="s">
        <v>1782</v>
      </c>
      <c r="C151" t="s">
        <v>1493</v>
      </c>
      <c r="D151">
        <v>96</v>
      </c>
      <c r="E151">
        <v>150</v>
      </c>
      <c r="F151">
        <v>315</v>
      </c>
    </row>
    <row r="152" spans="1:6" x14ac:dyDescent="0.25">
      <c r="A152">
        <v>151</v>
      </c>
      <c r="B152" t="s">
        <v>1775</v>
      </c>
      <c r="C152" t="s">
        <v>1776</v>
      </c>
      <c r="D152">
        <v>44</v>
      </c>
      <c r="E152">
        <v>155</v>
      </c>
      <c r="F152">
        <v>1208</v>
      </c>
    </row>
    <row r="153" spans="1:6" x14ac:dyDescent="0.25">
      <c r="A153">
        <v>152</v>
      </c>
      <c r="B153" t="s">
        <v>817</v>
      </c>
      <c r="C153" t="s">
        <v>818</v>
      </c>
      <c r="D153">
        <v>90</v>
      </c>
      <c r="E153">
        <v>148</v>
      </c>
      <c r="F153">
        <v>509</v>
      </c>
    </row>
    <row r="154" spans="1:6" x14ac:dyDescent="0.25">
      <c r="A154">
        <v>153</v>
      </c>
      <c r="B154" t="s">
        <v>4651</v>
      </c>
      <c r="C154" t="s">
        <v>2359</v>
      </c>
      <c r="D154">
        <v>106</v>
      </c>
      <c r="E154">
        <v>185</v>
      </c>
      <c r="F154">
        <v>650</v>
      </c>
    </row>
    <row r="155" spans="1:6" x14ac:dyDescent="0.25">
      <c r="A155">
        <v>154</v>
      </c>
      <c r="B155" t="s">
        <v>1809</v>
      </c>
      <c r="C155" t="s">
        <v>1472</v>
      </c>
      <c r="D155">
        <v>49</v>
      </c>
      <c r="E155">
        <v>158</v>
      </c>
      <c r="F155">
        <v>1414</v>
      </c>
    </row>
    <row r="156" spans="1:6" x14ac:dyDescent="0.25">
      <c r="A156">
        <v>155</v>
      </c>
      <c r="B156" t="s">
        <v>1808</v>
      </c>
      <c r="C156" t="s">
        <v>1434</v>
      </c>
      <c r="D156">
        <v>47</v>
      </c>
      <c r="E156">
        <v>156</v>
      </c>
      <c r="F156">
        <v>1407</v>
      </c>
    </row>
    <row r="157" spans="1:6" x14ac:dyDescent="0.25">
      <c r="A157">
        <v>156</v>
      </c>
      <c r="B157" t="s">
        <v>1812</v>
      </c>
      <c r="C157" t="s">
        <v>1813</v>
      </c>
      <c r="D157">
        <v>76</v>
      </c>
      <c r="E157">
        <v>157</v>
      </c>
      <c r="F157">
        <v>1368</v>
      </c>
    </row>
    <row r="158" spans="1:6" x14ac:dyDescent="0.25">
      <c r="A158">
        <v>157</v>
      </c>
      <c r="B158" t="s">
        <v>1836</v>
      </c>
      <c r="C158" t="s">
        <v>1837</v>
      </c>
      <c r="D158">
        <v>11</v>
      </c>
      <c r="E158">
        <v>154</v>
      </c>
      <c r="F158">
        <v>821</v>
      </c>
    </row>
    <row r="159" spans="1:6" x14ac:dyDescent="0.25">
      <c r="A159">
        <v>158</v>
      </c>
      <c r="B159" t="s">
        <v>1794</v>
      </c>
      <c r="C159" t="s">
        <v>1795</v>
      </c>
      <c r="D159">
        <v>4</v>
      </c>
      <c r="E159">
        <v>153</v>
      </c>
      <c r="F159">
        <v>1415</v>
      </c>
    </row>
    <row r="160" spans="1:6" x14ac:dyDescent="0.25">
      <c r="A160">
        <v>159</v>
      </c>
      <c r="B160" t="s">
        <v>1790</v>
      </c>
      <c r="C160" t="s">
        <v>1462</v>
      </c>
      <c r="D160">
        <v>6</v>
      </c>
      <c r="E160">
        <v>161</v>
      </c>
      <c r="F160">
        <v>469</v>
      </c>
    </row>
    <row r="161" spans="1:6" x14ac:dyDescent="0.25">
      <c r="A161">
        <v>160</v>
      </c>
      <c r="B161" t="s">
        <v>3794</v>
      </c>
      <c r="C161" t="s">
        <v>3795</v>
      </c>
      <c r="D161">
        <v>45</v>
      </c>
      <c r="E161">
        <v>160</v>
      </c>
      <c r="F161">
        <v>1383</v>
      </c>
    </row>
    <row r="162" spans="1:6" x14ac:dyDescent="0.25">
      <c r="A162">
        <v>161</v>
      </c>
      <c r="B162" t="s">
        <v>1824</v>
      </c>
      <c r="C162" t="s">
        <v>1825</v>
      </c>
      <c r="D162">
        <v>11</v>
      </c>
      <c r="E162">
        <v>159</v>
      </c>
      <c r="F162">
        <v>1415</v>
      </c>
    </row>
    <row r="163" spans="1:6" x14ac:dyDescent="0.25">
      <c r="A163">
        <v>162</v>
      </c>
      <c r="B163" t="s">
        <v>728</v>
      </c>
      <c r="C163" t="s">
        <v>729</v>
      </c>
      <c r="D163">
        <v>137</v>
      </c>
      <c r="E163">
        <v>152</v>
      </c>
      <c r="F163">
        <v>27</v>
      </c>
    </row>
    <row r="164" spans="1:6" x14ac:dyDescent="0.25">
      <c r="A164">
        <v>163</v>
      </c>
      <c r="B164" t="s">
        <v>1757</v>
      </c>
      <c r="C164" t="s">
        <v>1758</v>
      </c>
      <c r="D164">
        <v>60</v>
      </c>
      <c r="E164">
        <v>166</v>
      </c>
      <c r="F164">
        <v>382</v>
      </c>
    </row>
    <row r="165" spans="1:6" x14ac:dyDescent="0.25">
      <c r="A165">
        <v>164</v>
      </c>
      <c r="B165" t="s">
        <v>1721</v>
      </c>
      <c r="C165" t="s">
        <v>1722</v>
      </c>
      <c r="D165">
        <v>87</v>
      </c>
      <c r="E165">
        <v>163</v>
      </c>
      <c r="F165">
        <v>260</v>
      </c>
    </row>
    <row r="166" spans="1:6" x14ac:dyDescent="0.25">
      <c r="A166">
        <v>165</v>
      </c>
      <c r="B166" t="s">
        <v>1977</v>
      </c>
      <c r="C166" t="s">
        <v>1978</v>
      </c>
      <c r="D166">
        <v>10</v>
      </c>
      <c r="E166">
        <v>164</v>
      </c>
      <c r="F166">
        <v>1398</v>
      </c>
    </row>
    <row r="167" spans="1:6" x14ac:dyDescent="0.25">
      <c r="A167">
        <v>166</v>
      </c>
      <c r="B167" t="s">
        <v>1783</v>
      </c>
      <c r="C167" t="s">
        <v>1784</v>
      </c>
      <c r="D167">
        <v>87</v>
      </c>
      <c r="E167">
        <v>171</v>
      </c>
      <c r="F167">
        <v>631</v>
      </c>
    </row>
    <row r="168" spans="1:6" x14ac:dyDescent="0.25">
      <c r="A168">
        <v>167</v>
      </c>
      <c r="B168" t="s">
        <v>1803</v>
      </c>
      <c r="C168" t="s">
        <v>1804</v>
      </c>
      <c r="D168">
        <v>86</v>
      </c>
      <c r="E168">
        <v>167</v>
      </c>
      <c r="F168">
        <v>1400</v>
      </c>
    </row>
    <row r="169" spans="1:6" x14ac:dyDescent="0.25">
      <c r="A169">
        <v>168</v>
      </c>
      <c r="B169" t="s">
        <v>1810</v>
      </c>
      <c r="C169" t="s">
        <v>1811</v>
      </c>
      <c r="D169">
        <v>7</v>
      </c>
      <c r="E169">
        <v>178</v>
      </c>
      <c r="F169">
        <v>640</v>
      </c>
    </row>
    <row r="170" spans="1:6" x14ac:dyDescent="0.25">
      <c r="A170">
        <v>169</v>
      </c>
      <c r="B170" t="s">
        <v>1768</v>
      </c>
      <c r="C170" t="s">
        <v>1769</v>
      </c>
      <c r="D170">
        <v>52</v>
      </c>
      <c r="E170">
        <v>170</v>
      </c>
      <c r="F170">
        <v>49</v>
      </c>
    </row>
    <row r="171" spans="1:6" x14ac:dyDescent="0.25">
      <c r="A171">
        <v>170</v>
      </c>
      <c r="B171" t="s">
        <v>3923</v>
      </c>
      <c r="C171" t="s">
        <v>3924</v>
      </c>
      <c r="D171">
        <v>161</v>
      </c>
      <c r="E171">
        <v>168</v>
      </c>
      <c r="F171">
        <v>25</v>
      </c>
    </row>
    <row r="172" spans="1:6" x14ac:dyDescent="0.25">
      <c r="A172">
        <v>171</v>
      </c>
      <c r="B172" t="s">
        <v>1850</v>
      </c>
      <c r="C172" t="s">
        <v>1851</v>
      </c>
      <c r="D172">
        <v>2</v>
      </c>
      <c r="E172">
        <v>165</v>
      </c>
      <c r="F172">
        <v>1385</v>
      </c>
    </row>
    <row r="173" spans="1:6" x14ac:dyDescent="0.25">
      <c r="A173">
        <v>172</v>
      </c>
      <c r="B173" t="s">
        <v>1799</v>
      </c>
      <c r="C173" t="s">
        <v>1800</v>
      </c>
      <c r="D173">
        <v>96</v>
      </c>
      <c r="E173">
        <v>162</v>
      </c>
      <c r="F173">
        <v>739</v>
      </c>
    </row>
    <row r="174" spans="1:6" x14ac:dyDescent="0.25">
      <c r="A174">
        <v>173</v>
      </c>
      <c r="B174" t="s">
        <v>4579</v>
      </c>
      <c r="C174" t="s">
        <v>301</v>
      </c>
      <c r="D174">
        <v>34</v>
      </c>
      <c r="E174">
        <v>177</v>
      </c>
      <c r="F174">
        <v>109</v>
      </c>
    </row>
    <row r="175" spans="1:6" x14ac:dyDescent="0.25">
      <c r="A175">
        <v>174</v>
      </c>
      <c r="B175" t="s">
        <v>1817</v>
      </c>
      <c r="C175" t="s">
        <v>1818</v>
      </c>
      <c r="D175">
        <v>42</v>
      </c>
      <c r="E175">
        <v>173</v>
      </c>
      <c r="F175">
        <v>1413</v>
      </c>
    </row>
    <row r="176" spans="1:6" x14ac:dyDescent="0.25">
      <c r="A176">
        <v>175</v>
      </c>
      <c r="B176" t="s">
        <v>1840</v>
      </c>
      <c r="C176" t="s">
        <v>1841</v>
      </c>
      <c r="D176">
        <v>64</v>
      </c>
      <c r="E176">
        <v>175</v>
      </c>
      <c r="F176">
        <v>1320</v>
      </c>
    </row>
    <row r="177" spans="1:6" x14ac:dyDescent="0.25">
      <c r="A177">
        <v>176</v>
      </c>
      <c r="B177" t="s">
        <v>1979</v>
      </c>
      <c r="C177" t="s">
        <v>1980</v>
      </c>
      <c r="D177">
        <v>8</v>
      </c>
      <c r="E177">
        <v>172</v>
      </c>
      <c r="F177">
        <v>1252</v>
      </c>
    </row>
    <row r="178" spans="1:6" x14ac:dyDescent="0.25">
      <c r="A178">
        <v>177</v>
      </c>
      <c r="B178" t="s">
        <v>1785</v>
      </c>
      <c r="C178" t="s">
        <v>1786</v>
      </c>
      <c r="D178">
        <v>118</v>
      </c>
      <c r="E178">
        <v>169</v>
      </c>
      <c r="F178">
        <v>197</v>
      </c>
    </row>
    <row r="179" spans="1:6" x14ac:dyDescent="0.25">
      <c r="A179">
        <v>178</v>
      </c>
      <c r="B179" t="s">
        <v>1974</v>
      </c>
      <c r="C179" t="s">
        <v>1975</v>
      </c>
      <c r="D179">
        <v>29</v>
      </c>
      <c r="E179">
        <v>183</v>
      </c>
      <c r="F179">
        <v>1407</v>
      </c>
    </row>
    <row r="180" spans="1:6" x14ac:dyDescent="0.25">
      <c r="A180">
        <v>179</v>
      </c>
      <c r="B180" t="s">
        <v>1846</v>
      </c>
      <c r="C180" t="s">
        <v>1847</v>
      </c>
      <c r="D180">
        <v>62</v>
      </c>
      <c r="E180">
        <v>188</v>
      </c>
      <c r="F180">
        <v>431</v>
      </c>
    </row>
    <row r="181" spans="1:6" x14ac:dyDescent="0.25">
      <c r="A181">
        <v>180</v>
      </c>
      <c r="B181" t="s">
        <v>1819</v>
      </c>
      <c r="C181" t="s">
        <v>1820</v>
      </c>
      <c r="D181">
        <v>152</v>
      </c>
      <c r="E181">
        <v>179</v>
      </c>
      <c r="F181">
        <v>14</v>
      </c>
    </row>
    <row r="182" spans="1:6" x14ac:dyDescent="0.25">
      <c r="A182">
        <v>181</v>
      </c>
      <c r="B182" t="s">
        <v>1832</v>
      </c>
      <c r="C182" t="s">
        <v>1833</v>
      </c>
      <c r="D182">
        <v>22</v>
      </c>
      <c r="E182">
        <v>181</v>
      </c>
      <c r="F182">
        <v>890</v>
      </c>
    </row>
    <row r="183" spans="1:6" x14ac:dyDescent="0.25">
      <c r="A183">
        <v>182</v>
      </c>
      <c r="B183" t="s">
        <v>1814</v>
      </c>
      <c r="C183" t="s">
        <v>1563</v>
      </c>
      <c r="D183">
        <v>1</v>
      </c>
      <c r="E183">
        <v>174</v>
      </c>
      <c r="F183">
        <v>1414</v>
      </c>
    </row>
    <row r="184" spans="1:6" x14ac:dyDescent="0.25">
      <c r="A184">
        <v>183</v>
      </c>
      <c r="B184" t="s">
        <v>1844</v>
      </c>
      <c r="C184" t="s">
        <v>1845</v>
      </c>
      <c r="D184">
        <v>25</v>
      </c>
      <c r="E184">
        <v>180</v>
      </c>
      <c r="F184">
        <v>760</v>
      </c>
    </row>
    <row r="185" spans="1:6" x14ac:dyDescent="0.25">
      <c r="A185">
        <v>184</v>
      </c>
      <c r="B185" t="s">
        <v>1834</v>
      </c>
      <c r="C185" t="s">
        <v>1835</v>
      </c>
      <c r="D185">
        <v>79</v>
      </c>
      <c r="E185">
        <v>182</v>
      </c>
      <c r="F185">
        <v>1182</v>
      </c>
    </row>
    <row r="186" spans="1:6" x14ac:dyDescent="0.25">
      <c r="A186">
        <v>185</v>
      </c>
      <c r="B186" t="s">
        <v>1976</v>
      </c>
      <c r="C186" t="s">
        <v>1516</v>
      </c>
      <c r="D186">
        <v>77</v>
      </c>
      <c r="E186">
        <v>190</v>
      </c>
      <c r="F186">
        <v>424</v>
      </c>
    </row>
    <row r="187" spans="1:6" x14ac:dyDescent="0.25">
      <c r="A187">
        <v>186</v>
      </c>
      <c r="B187" t="s">
        <v>4534</v>
      </c>
      <c r="C187" t="s">
        <v>4535</v>
      </c>
      <c r="D187">
        <v>14</v>
      </c>
      <c r="E187">
        <v>189</v>
      </c>
      <c r="F187">
        <v>134</v>
      </c>
    </row>
    <row r="188" spans="1:6" x14ac:dyDescent="0.25">
      <c r="A188">
        <v>187</v>
      </c>
      <c r="B188" t="s">
        <v>1828</v>
      </c>
      <c r="C188" t="s">
        <v>1829</v>
      </c>
      <c r="D188">
        <v>5</v>
      </c>
      <c r="E188">
        <v>187</v>
      </c>
      <c r="F188">
        <v>1413</v>
      </c>
    </row>
    <row r="189" spans="1:6" x14ac:dyDescent="0.25">
      <c r="A189">
        <v>188</v>
      </c>
      <c r="B189" t="s">
        <v>1826</v>
      </c>
      <c r="C189" t="s">
        <v>1827</v>
      </c>
      <c r="D189">
        <v>146</v>
      </c>
      <c r="E189">
        <v>184</v>
      </c>
      <c r="F189">
        <v>51</v>
      </c>
    </row>
    <row r="190" spans="1:6" x14ac:dyDescent="0.25">
      <c r="A190">
        <v>189</v>
      </c>
      <c r="B190" t="s">
        <v>4712</v>
      </c>
      <c r="C190" t="s">
        <v>4713</v>
      </c>
      <c r="D190">
        <v>116</v>
      </c>
      <c r="E190">
        <v>-1</v>
      </c>
      <c r="F190">
        <v>265</v>
      </c>
    </row>
    <row r="191" spans="1:6" x14ac:dyDescent="0.25">
      <c r="A191">
        <v>190</v>
      </c>
      <c r="B191" t="s">
        <v>1796</v>
      </c>
      <c r="C191" t="s">
        <v>1235</v>
      </c>
      <c r="D191">
        <v>137</v>
      </c>
      <c r="E191">
        <v>196</v>
      </c>
      <c r="F191">
        <v>77</v>
      </c>
    </row>
    <row r="192" spans="1:6" x14ac:dyDescent="0.25">
      <c r="A192">
        <v>191</v>
      </c>
      <c r="B192" t="s">
        <v>4218</v>
      </c>
      <c r="C192" t="s">
        <v>4219</v>
      </c>
      <c r="D192">
        <v>171</v>
      </c>
      <c r="E192">
        <v>193</v>
      </c>
      <c r="F192">
        <v>25</v>
      </c>
    </row>
    <row r="193" spans="1:6" x14ac:dyDescent="0.25">
      <c r="A193">
        <v>192</v>
      </c>
      <c r="B193" t="s">
        <v>1842</v>
      </c>
      <c r="C193" t="s">
        <v>1843</v>
      </c>
      <c r="D193">
        <v>4</v>
      </c>
      <c r="E193">
        <v>-1</v>
      </c>
      <c r="F193">
        <v>802</v>
      </c>
    </row>
    <row r="194" spans="1:6" x14ac:dyDescent="0.25">
      <c r="A194">
        <v>193</v>
      </c>
      <c r="B194" t="s">
        <v>1791</v>
      </c>
      <c r="C194" t="s">
        <v>1014</v>
      </c>
      <c r="D194">
        <v>39</v>
      </c>
      <c r="E194">
        <v>176</v>
      </c>
      <c r="F194">
        <v>550</v>
      </c>
    </row>
    <row r="195" spans="1:6" x14ac:dyDescent="0.25">
      <c r="A195">
        <v>194</v>
      </c>
      <c r="B195" t="s">
        <v>1848</v>
      </c>
      <c r="C195" t="s">
        <v>1849</v>
      </c>
      <c r="D195">
        <v>15</v>
      </c>
      <c r="E195">
        <v>192</v>
      </c>
      <c r="F195">
        <v>907</v>
      </c>
    </row>
    <row r="196" spans="1:6" x14ac:dyDescent="0.25">
      <c r="A196">
        <v>195</v>
      </c>
      <c r="B196" t="s">
        <v>4714</v>
      </c>
      <c r="C196" t="s">
        <v>1519</v>
      </c>
      <c r="D196">
        <v>21</v>
      </c>
      <c r="E196">
        <v>-1</v>
      </c>
      <c r="F196">
        <v>988</v>
      </c>
    </row>
    <row r="197" spans="1:6" x14ac:dyDescent="0.25">
      <c r="A197">
        <v>196</v>
      </c>
      <c r="B197" t="s">
        <v>1821</v>
      </c>
      <c r="C197" t="s">
        <v>1822</v>
      </c>
      <c r="D197">
        <v>22</v>
      </c>
      <c r="E197">
        <v>-1</v>
      </c>
      <c r="F197">
        <v>1068</v>
      </c>
    </row>
    <row r="198" spans="1:6" x14ac:dyDescent="0.25">
      <c r="A198">
        <v>197</v>
      </c>
      <c r="B198" t="s">
        <v>532</v>
      </c>
      <c r="C198" t="s">
        <v>533</v>
      </c>
      <c r="D198">
        <v>54</v>
      </c>
      <c r="E198">
        <v>195</v>
      </c>
      <c r="F198">
        <v>907</v>
      </c>
    </row>
    <row r="199" spans="1:6" x14ac:dyDescent="0.25">
      <c r="A199">
        <v>198</v>
      </c>
      <c r="B199" t="s">
        <v>4402</v>
      </c>
      <c r="C199" t="s">
        <v>4403</v>
      </c>
      <c r="D199">
        <v>106</v>
      </c>
      <c r="E199">
        <v>197</v>
      </c>
      <c r="F199">
        <v>619</v>
      </c>
    </row>
    <row r="200" spans="1:6" x14ac:dyDescent="0.25">
      <c r="A200">
        <v>199</v>
      </c>
      <c r="B200" t="s">
        <v>1830</v>
      </c>
      <c r="C200" t="s">
        <v>1831</v>
      </c>
      <c r="D200">
        <v>14</v>
      </c>
      <c r="E200">
        <v>-1</v>
      </c>
      <c r="F200">
        <v>1409</v>
      </c>
    </row>
    <row r="201" spans="1:6" x14ac:dyDescent="0.25">
      <c r="A201">
        <v>200</v>
      </c>
      <c r="B201" t="s">
        <v>4715</v>
      </c>
      <c r="C201" t="s">
        <v>4716</v>
      </c>
      <c r="D201">
        <v>40</v>
      </c>
      <c r="E201">
        <v>-1</v>
      </c>
      <c r="F201">
        <v>262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7BFC6-CA1B-417C-9E98-CF0CABB6C19B}">
  <sheetPr codeName="Planilha8"/>
  <dimension ref="A1:H101"/>
  <sheetViews>
    <sheetView topLeftCell="B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140625" bestFit="1" customWidth="1"/>
    <col min="3" max="3" width="81.140625" bestFit="1" customWidth="1"/>
    <col min="4" max="4" width="49.5703125" bestFit="1" customWidth="1"/>
    <col min="5" max="5" width="55.42578125" bestFit="1" customWidth="1"/>
    <col min="6" max="6" width="12.5703125" bestFit="1" customWidth="1"/>
    <col min="7" max="7" width="16" bestFit="1" customWidth="1"/>
    <col min="8" max="8" width="16.140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 t="s">
        <v>4580</v>
      </c>
      <c r="C2" t="s">
        <v>4581</v>
      </c>
      <c r="D2" t="s">
        <v>4582</v>
      </c>
      <c r="E2" t="s">
        <v>4583</v>
      </c>
      <c r="F2">
        <v>1</v>
      </c>
      <c r="G2">
        <v>1</v>
      </c>
      <c r="H2">
        <v>3</v>
      </c>
    </row>
    <row r="3" spans="1:8" x14ac:dyDescent="0.25">
      <c r="A3">
        <v>2</v>
      </c>
      <c r="B3" t="s">
        <v>1852</v>
      </c>
      <c r="C3" t="s">
        <v>1853</v>
      </c>
      <c r="D3" t="s">
        <v>1854</v>
      </c>
      <c r="E3" t="s">
        <v>1855</v>
      </c>
      <c r="F3">
        <v>1</v>
      </c>
      <c r="G3">
        <v>2</v>
      </c>
      <c r="H3">
        <v>14</v>
      </c>
    </row>
    <row r="4" spans="1:8" x14ac:dyDescent="0.25">
      <c r="A4">
        <v>3</v>
      </c>
      <c r="B4" t="s">
        <v>1319</v>
      </c>
      <c r="C4" t="s">
        <v>1320</v>
      </c>
      <c r="D4" t="s">
        <v>1321</v>
      </c>
      <c r="E4" t="s">
        <v>1322</v>
      </c>
      <c r="F4">
        <v>3</v>
      </c>
      <c r="G4">
        <v>3</v>
      </c>
      <c r="H4">
        <v>3</v>
      </c>
    </row>
    <row r="5" spans="1:8" x14ac:dyDescent="0.25">
      <c r="A5">
        <v>4</v>
      </c>
      <c r="B5" t="s">
        <v>3925</v>
      </c>
      <c r="C5" t="s">
        <v>3926</v>
      </c>
      <c r="D5" t="s">
        <v>3927</v>
      </c>
      <c r="E5" t="s">
        <v>3928</v>
      </c>
      <c r="F5">
        <v>2</v>
      </c>
      <c r="G5">
        <v>4</v>
      </c>
      <c r="H5">
        <v>9</v>
      </c>
    </row>
    <row r="6" spans="1:8" x14ac:dyDescent="0.25">
      <c r="A6">
        <v>5</v>
      </c>
      <c r="B6" t="s">
        <v>1875</v>
      </c>
      <c r="C6" t="s">
        <v>1876</v>
      </c>
      <c r="D6" t="s">
        <v>1877</v>
      </c>
      <c r="E6" t="s">
        <v>1878</v>
      </c>
      <c r="F6">
        <v>3</v>
      </c>
      <c r="G6">
        <v>5</v>
      </c>
      <c r="H6">
        <v>15</v>
      </c>
    </row>
    <row r="7" spans="1:8" x14ac:dyDescent="0.25">
      <c r="A7">
        <v>6</v>
      </c>
      <c r="B7" t="s">
        <v>272</v>
      </c>
      <c r="C7" t="s">
        <v>273</v>
      </c>
      <c r="D7" t="s">
        <v>274</v>
      </c>
      <c r="E7" t="s">
        <v>275</v>
      </c>
      <c r="F7">
        <v>1</v>
      </c>
      <c r="G7">
        <v>6</v>
      </c>
      <c r="H7">
        <v>59</v>
      </c>
    </row>
    <row r="8" spans="1:8" x14ac:dyDescent="0.25">
      <c r="A8">
        <v>7</v>
      </c>
      <c r="B8" t="s">
        <v>1860</v>
      </c>
      <c r="C8" t="s">
        <v>1861</v>
      </c>
      <c r="D8" t="s">
        <v>1862</v>
      </c>
      <c r="E8" t="s">
        <v>1863</v>
      </c>
      <c r="F8">
        <v>2</v>
      </c>
      <c r="G8">
        <v>7</v>
      </c>
      <c r="H8">
        <v>24</v>
      </c>
    </row>
    <row r="9" spans="1:8" x14ac:dyDescent="0.25">
      <c r="A9">
        <v>8</v>
      </c>
      <c r="B9" t="s">
        <v>3838</v>
      </c>
      <c r="C9" t="s">
        <v>3839</v>
      </c>
      <c r="D9" t="s">
        <v>3840</v>
      </c>
      <c r="E9" t="s">
        <v>3839</v>
      </c>
      <c r="F9">
        <v>5</v>
      </c>
      <c r="G9">
        <v>8</v>
      </c>
      <c r="H9">
        <v>10</v>
      </c>
    </row>
    <row r="10" spans="1:8" x14ac:dyDescent="0.25">
      <c r="A10">
        <v>9</v>
      </c>
      <c r="B10" t="s">
        <v>1906</v>
      </c>
      <c r="C10" t="s">
        <v>1907</v>
      </c>
      <c r="D10" t="s">
        <v>1908</v>
      </c>
      <c r="E10" t="s">
        <v>232</v>
      </c>
      <c r="F10">
        <v>9</v>
      </c>
      <c r="G10">
        <v>10</v>
      </c>
      <c r="H10">
        <v>13</v>
      </c>
    </row>
    <row r="11" spans="1:8" x14ac:dyDescent="0.25">
      <c r="A11">
        <v>10</v>
      </c>
      <c r="B11" t="s">
        <v>1866</v>
      </c>
      <c r="C11" t="s">
        <v>1867</v>
      </c>
      <c r="D11" t="s">
        <v>1868</v>
      </c>
      <c r="E11" t="s">
        <v>1869</v>
      </c>
      <c r="F11">
        <v>4</v>
      </c>
      <c r="G11">
        <v>9</v>
      </c>
      <c r="H11">
        <v>24</v>
      </c>
    </row>
    <row r="12" spans="1:8" x14ac:dyDescent="0.25">
      <c r="A12">
        <v>11</v>
      </c>
      <c r="B12" t="s">
        <v>1872</v>
      </c>
      <c r="C12" t="s">
        <v>1873</v>
      </c>
      <c r="D12" t="s">
        <v>1874</v>
      </c>
      <c r="E12" t="s">
        <v>1873</v>
      </c>
      <c r="F12">
        <v>7</v>
      </c>
      <c r="G12">
        <v>12</v>
      </c>
      <c r="H12">
        <v>19</v>
      </c>
    </row>
    <row r="13" spans="1:8" x14ac:dyDescent="0.25">
      <c r="A13">
        <v>12</v>
      </c>
      <c r="B13" t="s">
        <v>318</v>
      </c>
      <c r="C13" t="s">
        <v>319</v>
      </c>
      <c r="D13" t="s">
        <v>320</v>
      </c>
      <c r="E13" t="s">
        <v>321</v>
      </c>
      <c r="F13">
        <v>1</v>
      </c>
      <c r="G13">
        <v>13</v>
      </c>
      <c r="H13">
        <v>31</v>
      </c>
    </row>
    <row r="14" spans="1:8" x14ac:dyDescent="0.25">
      <c r="A14">
        <v>13</v>
      </c>
      <c r="B14" t="s">
        <v>1539</v>
      </c>
      <c r="C14" t="s">
        <v>1540</v>
      </c>
      <c r="D14" t="s">
        <v>1541</v>
      </c>
      <c r="E14" t="s">
        <v>1542</v>
      </c>
      <c r="F14">
        <v>7</v>
      </c>
      <c r="G14">
        <v>11</v>
      </c>
      <c r="H14">
        <v>31</v>
      </c>
    </row>
    <row r="15" spans="1:8" x14ac:dyDescent="0.25">
      <c r="A15">
        <v>14</v>
      </c>
      <c r="B15" t="s">
        <v>3835</v>
      </c>
      <c r="C15" t="s">
        <v>3836</v>
      </c>
      <c r="D15" t="s">
        <v>3837</v>
      </c>
      <c r="E15" t="s">
        <v>1948</v>
      </c>
      <c r="F15">
        <v>3</v>
      </c>
      <c r="G15">
        <v>14</v>
      </c>
      <c r="H15">
        <v>10</v>
      </c>
    </row>
    <row r="16" spans="1:8" x14ac:dyDescent="0.25">
      <c r="A16">
        <v>15</v>
      </c>
      <c r="B16" t="s">
        <v>954</v>
      </c>
      <c r="C16" t="s">
        <v>955</v>
      </c>
      <c r="D16" t="s">
        <v>956</v>
      </c>
      <c r="E16" t="s">
        <v>957</v>
      </c>
      <c r="F16">
        <v>1</v>
      </c>
      <c r="G16">
        <v>16</v>
      </c>
      <c r="H16">
        <v>73</v>
      </c>
    </row>
    <row r="17" spans="1:8" x14ac:dyDescent="0.25">
      <c r="A17">
        <v>16</v>
      </c>
      <c r="B17" t="s">
        <v>965</v>
      </c>
      <c r="C17" t="s">
        <v>966</v>
      </c>
      <c r="D17" t="s">
        <v>967</v>
      </c>
      <c r="E17" t="s">
        <v>968</v>
      </c>
      <c r="F17">
        <v>5</v>
      </c>
      <c r="G17">
        <v>17</v>
      </c>
      <c r="H17">
        <v>54</v>
      </c>
    </row>
    <row r="18" spans="1:8" x14ac:dyDescent="0.25">
      <c r="A18">
        <v>17</v>
      </c>
      <c r="B18" t="s">
        <v>4562</v>
      </c>
      <c r="C18" t="s">
        <v>4563</v>
      </c>
      <c r="D18" t="s">
        <v>4564</v>
      </c>
      <c r="E18" t="s">
        <v>2177</v>
      </c>
      <c r="F18">
        <v>17</v>
      </c>
      <c r="G18">
        <v>18</v>
      </c>
      <c r="H18">
        <v>3</v>
      </c>
    </row>
    <row r="19" spans="1:8" x14ac:dyDescent="0.25">
      <c r="A19">
        <v>18</v>
      </c>
      <c r="B19" t="s">
        <v>876</v>
      </c>
      <c r="C19" t="s">
        <v>877</v>
      </c>
      <c r="D19" t="s">
        <v>878</v>
      </c>
      <c r="E19" t="s">
        <v>879</v>
      </c>
      <c r="F19">
        <v>6</v>
      </c>
      <c r="G19">
        <v>19</v>
      </c>
      <c r="H19">
        <v>6</v>
      </c>
    </row>
    <row r="20" spans="1:8" x14ac:dyDescent="0.25">
      <c r="A20">
        <v>19</v>
      </c>
      <c r="B20" t="s">
        <v>4404</v>
      </c>
      <c r="C20" t="s">
        <v>4405</v>
      </c>
      <c r="D20" t="s">
        <v>3858</v>
      </c>
      <c r="E20" t="s">
        <v>928</v>
      </c>
      <c r="F20">
        <v>19</v>
      </c>
      <c r="G20">
        <v>23</v>
      </c>
      <c r="H20">
        <v>10</v>
      </c>
    </row>
    <row r="21" spans="1:8" x14ac:dyDescent="0.25">
      <c r="A21">
        <v>20</v>
      </c>
      <c r="B21" t="s">
        <v>4652</v>
      </c>
      <c r="C21" t="s">
        <v>3847</v>
      </c>
      <c r="D21" t="s">
        <v>3848</v>
      </c>
      <c r="E21" t="s">
        <v>3849</v>
      </c>
      <c r="F21">
        <v>11</v>
      </c>
      <c r="G21">
        <v>15</v>
      </c>
      <c r="H21">
        <v>10</v>
      </c>
    </row>
    <row r="22" spans="1:8" x14ac:dyDescent="0.25">
      <c r="A22">
        <v>21</v>
      </c>
      <c r="B22" t="s">
        <v>4406</v>
      </c>
      <c r="C22" t="s">
        <v>4407</v>
      </c>
      <c r="D22" t="s">
        <v>4408</v>
      </c>
      <c r="E22" t="s">
        <v>4409</v>
      </c>
      <c r="F22">
        <v>21</v>
      </c>
      <c r="G22">
        <v>21</v>
      </c>
      <c r="H22">
        <v>6</v>
      </c>
    </row>
    <row r="23" spans="1:8" x14ac:dyDescent="0.25">
      <c r="A23">
        <v>22</v>
      </c>
      <c r="B23" t="s">
        <v>3918</v>
      </c>
      <c r="C23" t="s">
        <v>1870</v>
      </c>
      <c r="D23" t="s">
        <v>1871</v>
      </c>
      <c r="E23" t="s">
        <v>3854</v>
      </c>
      <c r="F23">
        <v>12</v>
      </c>
      <c r="G23">
        <v>22</v>
      </c>
      <c r="H23">
        <v>45</v>
      </c>
    </row>
    <row r="24" spans="1:8" x14ac:dyDescent="0.25">
      <c r="A24">
        <v>23</v>
      </c>
      <c r="B24" t="s">
        <v>884</v>
      </c>
      <c r="C24" t="s">
        <v>885</v>
      </c>
      <c r="D24" t="s">
        <v>886</v>
      </c>
      <c r="E24" t="s">
        <v>887</v>
      </c>
      <c r="F24">
        <v>4</v>
      </c>
      <c r="G24">
        <v>20</v>
      </c>
      <c r="H24">
        <v>44</v>
      </c>
    </row>
    <row r="25" spans="1:8" x14ac:dyDescent="0.25">
      <c r="A25">
        <v>24</v>
      </c>
      <c r="B25" t="s">
        <v>1952</v>
      </c>
      <c r="C25" t="s">
        <v>1953</v>
      </c>
      <c r="D25" t="s">
        <v>1954</v>
      </c>
      <c r="E25" t="s">
        <v>1955</v>
      </c>
      <c r="F25">
        <v>20</v>
      </c>
      <c r="G25">
        <v>24</v>
      </c>
      <c r="H25">
        <v>13</v>
      </c>
    </row>
    <row r="26" spans="1:8" x14ac:dyDescent="0.25">
      <c r="A26">
        <v>25</v>
      </c>
      <c r="B26" t="s">
        <v>1188</v>
      </c>
      <c r="C26" t="s">
        <v>266</v>
      </c>
      <c r="D26" t="s">
        <v>1020</v>
      </c>
      <c r="E26" t="s">
        <v>268</v>
      </c>
      <c r="F26">
        <v>17</v>
      </c>
      <c r="G26">
        <v>26</v>
      </c>
      <c r="H26">
        <v>24</v>
      </c>
    </row>
    <row r="27" spans="1:8" x14ac:dyDescent="0.25">
      <c r="A27">
        <v>26</v>
      </c>
      <c r="B27" t="s">
        <v>3841</v>
      </c>
      <c r="C27" t="s">
        <v>3842</v>
      </c>
      <c r="D27" t="s">
        <v>3843</v>
      </c>
      <c r="E27" t="s">
        <v>3844</v>
      </c>
      <c r="F27">
        <v>10</v>
      </c>
      <c r="G27">
        <v>25</v>
      </c>
      <c r="H27">
        <v>10</v>
      </c>
    </row>
    <row r="28" spans="1:8" x14ac:dyDescent="0.25">
      <c r="A28">
        <v>27</v>
      </c>
      <c r="B28" t="s">
        <v>999</v>
      </c>
      <c r="C28" t="s">
        <v>1000</v>
      </c>
      <c r="D28" t="s">
        <v>1001</v>
      </c>
      <c r="E28" t="s">
        <v>1002</v>
      </c>
      <c r="F28">
        <v>27</v>
      </c>
      <c r="G28">
        <v>30</v>
      </c>
      <c r="H28">
        <v>19</v>
      </c>
    </row>
    <row r="29" spans="1:8" x14ac:dyDescent="0.25">
      <c r="A29">
        <v>28</v>
      </c>
      <c r="B29" t="s">
        <v>3850</v>
      </c>
      <c r="C29" t="s">
        <v>3851</v>
      </c>
      <c r="D29" t="s">
        <v>3852</v>
      </c>
      <c r="E29" t="s">
        <v>3853</v>
      </c>
      <c r="F29">
        <v>17</v>
      </c>
      <c r="G29">
        <v>29</v>
      </c>
      <c r="H29">
        <v>10</v>
      </c>
    </row>
    <row r="30" spans="1:8" x14ac:dyDescent="0.25">
      <c r="A30">
        <v>29</v>
      </c>
      <c r="B30" t="s">
        <v>1879</v>
      </c>
      <c r="C30" t="s">
        <v>1540</v>
      </c>
      <c r="D30" t="s">
        <v>1880</v>
      </c>
      <c r="E30" t="s">
        <v>1542</v>
      </c>
      <c r="F30">
        <v>15</v>
      </c>
      <c r="G30">
        <v>27</v>
      </c>
      <c r="H30">
        <v>31</v>
      </c>
    </row>
    <row r="31" spans="1:8" x14ac:dyDescent="0.25">
      <c r="A31">
        <v>30</v>
      </c>
      <c r="B31" t="s">
        <v>92</v>
      </c>
      <c r="C31" t="s">
        <v>93</v>
      </c>
      <c r="D31" t="s">
        <v>94</v>
      </c>
      <c r="E31" t="s">
        <v>24</v>
      </c>
      <c r="F31">
        <v>26</v>
      </c>
      <c r="G31">
        <v>28</v>
      </c>
      <c r="H31">
        <v>3</v>
      </c>
    </row>
    <row r="32" spans="1:8" x14ac:dyDescent="0.25">
      <c r="A32">
        <v>31</v>
      </c>
      <c r="B32" t="s">
        <v>985</v>
      </c>
      <c r="C32" t="s">
        <v>986</v>
      </c>
      <c r="D32" t="s">
        <v>987</v>
      </c>
      <c r="E32" t="s">
        <v>988</v>
      </c>
      <c r="F32">
        <v>25</v>
      </c>
      <c r="G32">
        <v>31</v>
      </c>
      <c r="H32">
        <v>19</v>
      </c>
    </row>
    <row r="33" spans="1:8" x14ac:dyDescent="0.25">
      <c r="A33">
        <v>32</v>
      </c>
      <c r="B33" t="s">
        <v>4588</v>
      </c>
      <c r="C33" t="s">
        <v>4589</v>
      </c>
      <c r="D33" t="s">
        <v>4590</v>
      </c>
      <c r="E33" t="s">
        <v>4591</v>
      </c>
      <c r="F33">
        <v>32</v>
      </c>
      <c r="G33">
        <v>34</v>
      </c>
      <c r="H33">
        <v>3</v>
      </c>
    </row>
    <row r="34" spans="1:8" x14ac:dyDescent="0.25">
      <c r="A34">
        <v>33</v>
      </c>
      <c r="B34" t="s">
        <v>1881</v>
      </c>
      <c r="C34" t="s">
        <v>1882</v>
      </c>
      <c r="D34" t="s">
        <v>1883</v>
      </c>
      <c r="E34" t="s">
        <v>1884</v>
      </c>
      <c r="F34">
        <v>20</v>
      </c>
      <c r="G34">
        <v>32</v>
      </c>
      <c r="H34">
        <v>17</v>
      </c>
    </row>
    <row r="35" spans="1:8" x14ac:dyDescent="0.25">
      <c r="A35">
        <v>34</v>
      </c>
      <c r="B35" t="s">
        <v>1003</v>
      </c>
      <c r="C35" t="s">
        <v>1004</v>
      </c>
      <c r="D35" t="s">
        <v>1005</v>
      </c>
      <c r="E35" t="s">
        <v>275</v>
      </c>
      <c r="F35">
        <v>2</v>
      </c>
      <c r="G35">
        <v>33</v>
      </c>
      <c r="H35">
        <v>52</v>
      </c>
    </row>
    <row r="36" spans="1:8" x14ac:dyDescent="0.25">
      <c r="A36">
        <v>35</v>
      </c>
      <c r="B36" t="s">
        <v>3845</v>
      </c>
      <c r="C36" t="s">
        <v>1864</v>
      </c>
      <c r="D36" t="s">
        <v>1865</v>
      </c>
      <c r="E36" t="s">
        <v>3846</v>
      </c>
      <c r="F36">
        <v>2</v>
      </c>
      <c r="G36">
        <v>38</v>
      </c>
      <c r="H36">
        <v>24</v>
      </c>
    </row>
    <row r="37" spans="1:8" x14ac:dyDescent="0.25">
      <c r="A37">
        <v>36</v>
      </c>
      <c r="B37" t="s">
        <v>1109</v>
      </c>
      <c r="C37" t="s">
        <v>1034</v>
      </c>
      <c r="D37" t="s">
        <v>1110</v>
      </c>
      <c r="E37" t="s">
        <v>275</v>
      </c>
      <c r="F37">
        <v>3</v>
      </c>
      <c r="G37">
        <v>37</v>
      </c>
      <c r="H37">
        <v>59</v>
      </c>
    </row>
    <row r="38" spans="1:8" x14ac:dyDescent="0.25">
      <c r="A38">
        <v>37</v>
      </c>
      <c r="B38" t="s">
        <v>3703</v>
      </c>
      <c r="C38" t="s">
        <v>665</v>
      </c>
      <c r="D38" t="s">
        <v>3451</v>
      </c>
      <c r="E38" t="s">
        <v>12</v>
      </c>
      <c r="F38">
        <v>33</v>
      </c>
      <c r="G38">
        <v>36</v>
      </c>
      <c r="H38">
        <v>3</v>
      </c>
    </row>
    <row r="39" spans="1:8" x14ac:dyDescent="0.25">
      <c r="A39">
        <v>38</v>
      </c>
      <c r="B39" t="s">
        <v>4584</v>
      </c>
      <c r="C39" t="s">
        <v>4585</v>
      </c>
      <c r="D39" t="s">
        <v>4586</v>
      </c>
      <c r="E39" t="s">
        <v>4587</v>
      </c>
      <c r="F39">
        <v>32</v>
      </c>
      <c r="G39">
        <v>35</v>
      </c>
      <c r="H39">
        <v>3</v>
      </c>
    </row>
    <row r="40" spans="1:8" x14ac:dyDescent="0.25">
      <c r="A40">
        <v>39</v>
      </c>
      <c r="B40" t="s">
        <v>4592</v>
      </c>
      <c r="C40" t="s">
        <v>4593</v>
      </c>
      <c r="D40" t="s">
        <v>4594</v>
      </c>
      <c r="E40" t="s">
        <v>1233</v>
      </c>
      <c r="F40">
        <v>38</v>
      </c>
      <c r="G40">
        <v>39</v>
      </c>
      <c r="H40">
        <v>3</v>
      </c>
    </row>
    <row r="41" spans="1:8" x14ac:dyDescent="0.25">
      <c r="A41">
        <v>40</v>
      </c>
      <c r="B41" t="s">
        <v>1944</v>
      </c>
      <c r="C41" t="s">
        <v>1945</v>
      </c>
      <c r="D41" t="s">
        <v>1946</v>
      </c>
      <c r="E41" t="s">
        <v>1947</v>
      </c>
      <c r="F41">
        <v>40</v>
      </c>
      <c r="G41">
        <v>40</v>
      </c>
      <c r="H41">
        <v>21</v>
      </c>
    </row>
    <row r="42" spans="1:8" x14ac:dyDescent="0.25">
      <c r="A42">
        <v>41</v>
      </c>
      <c r="B42" t="s">
        <v>1856</v>
      </c>
      <c r="C42" t="s">
        <v>1857</v>
      </c>
      <c r="D42" t="s">
        <v>1858</v>
      </c>
      <c r="E42" t="s">
        <v>1859</v>
      </c>
      <c r="F42">
        <v>1</v>
      </c>
      <c r="G42">
        <v>41</v>
      </c>
      <c r="H42">
        <v>17</v>
      </c>
    </row>
    <row r="43" spans="1:8" x14ac:dyDescent="0.25">
      <c r="A43">
        <v>42</v>
      </c>
      <c r="B43" t="s">
        <v>3916</v>
      </c>
      <c r="C43" t="s">
        <v>3702</v>
      </c>
      <c r="D43" t="s">
        <v>3917</v>
      </c>
      <c r="E43" t="s">
        <v>3702</v>
      </c>
      <c r="F43">
        <v>42</v>
      </c>
      <c r="G43">
        <v>44</v>
      </c>
      <c r="H43">
        <v>3</v>
      </c>
    </row>
    <row r="44" spans="1:8" x14ac:dyDescent="0.25">
      <c r="A44">
        <v>43</v>
      </c>
      <c r="B44" t="s">
        <v>1010</v>
      </c>
      <c r="C44" t="s">
        <v>1011</v>
      </c>
      <c r="D44" t="s">
        <v>1012</v>
      </c>
      <c r="E44" t="s">
        <v>1013</v>
      </c>
      <c r="F44">
        <v>7</v>
      </c>
      <c r="G44">
        <v>46</v>
      </c>
      <c r="H44">
        <v>31</v>
      </c>
    </row>
    <row r="45" spans="1:8" x14ac:dyDescent="0.25">
      <c r="A45">
        <v>44</v>
      </c>
      <c r="B45" t="s">
        <v>3713</v>
      </c>
      <c r="C45" t="s">
        <v>3714</v>
      </c>
      <c r="D45" t="s">
        <v>3715</v>
      </c>
      <c r="E45" t="s">
        <v>3716</v>
      </c>
      <c r="F45">
        <v>43</v>
      </c>
      <c r="G45">
        <v>43</v>
      </c>
      <c r="H45">
        <v>5</v>
      </c>
    </row>
    <row r="46" spans="1:8" x14ac:dyDescent="0.25">
      <c r="A46">
        <v>45</v>
      </c>
      <c r="B46" t="s">
        <v>4536</v>
      </c>
      <c r="C46" t="s">
        <v>4537</v>
      </c>
      <c r="D46" t="s">
        <v>4538</v>
      </c>
      <c r="E46" t="s">
        <v>4539</v>
      </c>
      <c r="F46">
        <v>40</v>
      </c>
      <c r="G46">
        <v>42</v>
      </c>
      <c r="H46">
        <v>4</v>
      </c>
    </row>
    <row r="47" spans="1:8" x14ac:dyDescent="0.25">
      <c r="A47">
        <v>46</v>
      </c>
      <c r="B47" t="s">
        <v>3855</v>
      </c>
      <c r="C47" t="s">
        <v>3856</v>
      </c>
      <c r="D47" t="s">
        <v>3857</v>
      </c>
      <c r="E47" t="s">
        <v>2045</v>
      </c>
      <c r="F47">
        <v>28</v>
      </c>
      <c r="G47">
        <v>48</v>
      </c>
      <c r="H47">
        <v>10</v>
      </c>
    </row>
    <row r="48" spans="1:8" x14ac:dyDescent="0.25">
      <c r="A48">
        <v>47</v>
      </c>
      <c r="B48" t="s">
        <v>1230</v>
      </c>
      <c r="C48" t="s">
        <v>1231</v>
      </c>
      <c r="D48" t="s">
        <v>1232</v>
      </c>
      <c r="E48" t="s">
        <v>1233</v>
      </c>
      <c r="F48">
        <v>7</v>
      </c>
      <c r="G48">
        <v>45</v>
      </c>
      <c r="H48">
        <v>61</v>
      </c>
    </row>
    <row r="49" spans="1:8" x14ac:dyDescent="0.25">
      <c r="A49">
        <v>48</v>
      </c>
      <c r="B49" t="s">
        <v>4595</v>
      </c>
      <c r="C49" t="s">
        <v>4596</v>
      </c>
      <c r="D49" t="s">
        <v>4597</v>
      </c>
      <c r="E49" t="s">
        <v>4598</v>
      </c>
      <c r="F49">
        <v>44</v>
      </c>
      <c r="G49">
        <v>47</v>
      </c>
      <c r="H49">
        <v>3</v>
      </c>
    </row>
    <row r="50" spans="1:8" x14ac:dyDescent="0.25">
      <c r="A50">
        <v>49</v>
      </c>
      <c r="B50" t="s">
        <v>969</v>
      </c>
      <c r="C50" t="s">
        <v>970</v>
      </c>
      <c r="D50" t="s">
        <v>971</v>
      </c>
      <c r="E50" t="s">
        <v>972</v>
      </c>
      <c r="F50">
        <v>10</v>
      </c>
      <c r="G50">
        <v>50</v>
      </c>
      <c r="H50">
        <v>24</v>
      </c>
    </row>
    <row r="51" spans="1:8" x14ac:dyDescent="0.25">
      <c r="A51">
        <v>50</v>
      </c>
      <c r="B51" t="s">
        <v>1900</v>
      </c>
      <c r="C51" t="s">
        <v>1901</v>
      </c>
      <c r="D51" t="s">
        <v>1902</v>
      </c>
      <c r="E51" t="s">
        <v>1901</v>
      </c>
      <c r="F51">
        <v>17</v>
      </c>
      <c r="G51">
        <v>49</v>
      </c>
      <c r="H51">
        <v>49</v>
      </c>
    </row>
    <row r="52" spans="1:8" x14ac:dyDescent="0.25">
      <c r="A52">
        <v>51</v>
      </c>
      <c r="B52" t="s">
        <v>4540</v>
      </c>
      <c r="C52" t="s">
        <v>4541</v>
      </c>
      <c r="D52" t="s">
        <v>4542</v>
      </c>
      <c r="E52" t="s">
        <v>4543</v>
      </c>
      <c r="F52">
        <v>51</v>
      </c>
      <c r="G52">
        <v>55</v>
      </c>
      <c r="H52">
        <v>4</v>
      </c>
    </row>
    <row r="53" spans="1:8" x14ac:dyDescent="0.25">
      <c r="A53">
        <v>52</v>
      </c>
      <c r="B53" t="s">
        <v>4717</v>
      </c>
      <c r="C53" t="s">
        <v>4718</v>
      </c>
      <c r="D53" t="s">
        <v>4719</v>
      </c>
      <c r="E53" t="s">
        <v>4718</v>
      </c>
      <c r="F53">
        <v>52</v>
      </c>
      <c r="G53">
        <v>-1</v>
      </c>
      <c r="H53">
        <v>1</v>
      </c>
    </row>
    <row r="54" spans="1:8" x14ac:dyDescent="0.25">
      <c r="A54">
        <v>53</v>
      </c>
      <c r="B54" t="s">
        <v>1287</v>
      </c>
      <c r="C54" t="s">
        <v>1288</v>
      </c>
      <c r="D54" t="s">
        <v>1289</v>
      </c>
      <c r="E54" t="s">
        <v>341</v>
      </c>
      <c r="F54">
        <v>37</v>
      </c>
      <c r="G54">
        <v>60</v>
      </c>
      <c r="H54">
        <v>31</v>
      </c>
    </row>
    <row r="55" spans="1:8" x14ac:dyDescent="0.25">
      <c r="A55">
        <v>54</v>
      </c>
      <c r="B55" t="s">
        <v>1893</v>
      </c>
      <c r="C55" t="s">
        <v>1894</v>
      </c>
      <c r="D55" t="s">
        <v>1895</v>
      </c>
      <c r="E55" t="s">
        <v>1896</v>
      </c>
      <c r="F55">
        <v>4</v>
      </c>
      <c r="G55">
        <v>52</v>
      </c>
      <c r="H55">
        <v>64</v>
      </c>
    </row>
    <row r="56" spans="1:8" x14ac:dyDescent="0.25">
      <c r="A56">
        <v>55</v>
      </c>
      <c r="B56" t="s">
        <v>1889</v>
      </c>
      <c r="C56" t="s">
        <v>1890</v>
      </c>
      <c r="D56" t="s">
        <v>1891</v>
      </c>
      <c r="E56" t="s">
        <v>1892</v>
      </c>
      <c r="F56">
        <v>17</v>
      </c>
      <c r="G56">
        <v>51</v>
      </c>
      <c r="H56">
        <v>17</v>
      </c>
    </row>
    <row r="57" spans="1:8" x14ac:dyDescent="0.25">
      <c r="A57">
        <v>56</v>
      </c>
      <c r="B57" t="s">
        <v>1055</v>
      </c>
      <c r="C57" t="s">
        <v>266</v>
      </c>
      <c r="D57" t="s">
        <v>267</v>
      </c>
      <c r="E57" t="s">
        <v>268</v>
      </c>
      <c r="F57">
        <v>13</v>
      </c>
      <c r="G57">
        <v>62</v>
      </c>
      <c r="H57">
        <v>207</v>
      </c>
    </row>
    <row r="58" spans="1:8" x14ac:dyDescent="0.25">
      <c r="A58">
        <v>57</v>
      </c>
      <c r="B58" t="s">
        <v>1897</v>
      </c>
      <c r="C58" t="s">
        <v>1898</v>
      </c>
      <c r="D58" t="s">
        <v>1899</v>
      </c>
      <c r="E58" t="s">
        <v>928</v>
      </c>
      <c r="F58">
        <v>2</v>
      </c>
      <c r="G58">
        <v>53</v>
      </c>
      <c r="H58">
        <v>78</v>
      </c>
    </row>
    <row r="59" spans="1:8" x14ac:dyDescent="0.25">
      <c r="A59">
        <v>58</v>
      </c>
      <c r="B59" t="s">
        <v>1033</v>
      </c>
      <c r="C59" t="s">
        <v>1034</v>
      </c>
      <c r="D59" t="s">
        <v>1035</v>
      </c>
      <c r="E59" t="s">
        <v>275</v>
      </c>
      <c r="F59">
        <v>2</v>
      </c>
      <c r="G59">
        <v>54</v>
      </c>
      <c r="H59">
        <v>59</v>
      </c>
    </row>
    <row r="60" spans="1:8" x14ac:dyDescent="0.25">
      <c r="A60">
        <v>59</v>
      </c>
      <c r="B60" t="s">
        <v>502</v>
      </c>
      <c r="C60" t="s">
        <v>503</v>
      </c>
      <c r="D60" t="s">
        <v>504</v>
      </c>
      <c r="E60" t="s">
        <v>505</v>
      </c>
      <c r="F60">
        <v>18</v>
      </c>
      <c r="G60">
        <v>58</v>
      </c>
      <c r="H60">
        <v>59</v>
      </c>
    </row>
    <row r="61" spans="1:8" x14ac:dyDescent="0.25">
      <c r="A61">
        <v>60</v>
      </c>
      <c r="B61" t="s">
        <v>4298</v>
      </c>
      <c r="C61" t="s">
        <v>496</v>
      </c>
      <c r="D61" t="s">
        <v>1132</v>
      </c>
      <c r="E61" t="s">
        <v>1133</v>
      </c>
      <c r="F61">
        <v>7</v>
      </c>
      <c r="G61">
        <v>64</v>
      </c>
      <c r="H61">
        <v>27</v>
      </c>
    </row>
    <row r="62" spans="1:8" x14ac:dyDescent="0.25">
      <c r="A62">
        <v>61</v>
      </c>
      <c r="B62" t="s">
        <v>3859</v>
      </c>
      <c r="C62" t="s">
        <v>3860</v>
      </c>
      <c r="D62" t="s">
        <v>3861</v>
      </c>
      <c r="E62" t="s">
        <v>3860</v>
      </c>
      <c r="F62">
        <v>35</v>
      </c>
      <c r="G62">
        <v>56</v>
      </c>
      <c r="H62">
        <v>10</v>
      </c>
    </row>
    <row r="63" spans="1:8" x14ac:dyDescent="0.25">
      <c r="A63">
        <v>62</v>
      </c>
      <c r="B63" t="s">
        <v>4599</v>
      </c>
      <c r="C63" t="s">
        <v>4600</v>
      </c>
      <c r="D63" t="s">
        <v>4601</v>
      </c>
      <c r="E63" t="s">
        <v>4602</v>
      </c>
      <c r="F63">
        <v>57</v>
      </c>
      <c r="G63">
        <v>57</v>
      </c>
      <c r="H63">
        <v>3</v>
      </c>
    </row>
    <row r="64" spans="1:8" x14ac:dyDescent="0.25">
      <c r="A64">
        <v>63</v>
      </c>
      <c r="B64" t="s">
        <v>3868</v>
      </c>
      <c r="C64" t="s">
        <v>3869</v>
      </c>
      <c r="D64" t="s">
        <v>3870</v>
      </c>
      <c r="E64" t="s">
        <v>1869</v>
      </c>
      <c r="F64">
        <v>48</v>
      </c>
      <c r="G64">
        <v>59</v>
      </c>
      <c r="H64">
        <v>22</v>
      </c>
    </row>
    <row r="65" spans="1:8" x14ac:dyDescent="0.25">
      <c r="A65">
        <v>64</v>
      </c>
      <c r="B65" t="s">
        <v>4653</v>
      </c>
      <c r="C65" t="s">
        <v>4654</v>
      </c>
      <c r="D65" t="s">
        <v>4655</v>
      </c>
      <c r="E65" t="s">
        <v>4656</v>
      </c>
      <c r="F65">
        <v>64</v>
      </c>
      <c r="G65">
        <v>77</v>
      </c>
      <c r="H65">
        <v>2</v>
      </c>
    </row>
    <row r="66" spans="1:8" x14ac:dyDescent="0.25">
      <c r="A66">
        <v>65</v>
      </c>
      <c r="B66" t="s">
        <v>1930</v>
      </c>
      <c r="C66" t="s">
        <v>1931</v>
      </c>
      <c r="D66" t="s">
        <v>1932</v>
      </c>
      <c r="E66" t="s">
        <v>1933</v>
      </c>
      <c r="F66">
        <v>31</v>
      </c>
      <c r="G66">
        <v>65</v>
      </c>
      <c r="H66">
        <v>38</v>
      </c>
    </row>
    <row r="67" spans="1:8" x14ac:dyDescent="0.25">
      <c r="A67">
        <v>66</v>
      </c>
      <c r="B67" t="s">
        <v>1885</v>
      </c>
      <c r="C67" t="s">
        <v>1886</v>
      </c>
      <c r="D67" t="s">
        <v>1887</v>
      </c>
      <c r="E67" t="s">
        <v>1888</v>
      </c>
      <c r="F67">
        <v>1</v>
      </c>
      <c r="G67">
        <v>61</v>
      </c>
      <c r="H67">
        <v>48</v>
      </c>
    </row>
    <row r="68" spans="1:8" x14ac:dyDescent="0.25">
      <c r="A68">
        <v>67</v>
      </c>
      <c r="B68" t="s">
        <v>1939</v>
      </c>
      <c r="C68" t="s">
        <v>1940</v>
      </c>
      <c r="D68" t="s">
        <v>1941</v>
      </c>
      <c r="E68" t="s">
        <v>1938</v>
      </c>
      <c r="F68">
        <v>10</v>
      </c>
      <c r="G68">
        <v>69</v>
      </c>
      <c r="H68">
        <v>64</v>
      </c>
    </row>
    <row r="69" spans="1:8" x14ac:dyDescent="0.25">
      <c r="A69">
        <v>68</v>
      </c>
      <c r="B69" t="s">
        <v>1909</v>
      </c>
      <c r="C69" t="s">
        <v>1910</v>
      </c>
      <c r="D69" t="s">
        <v>1911</v>
      </c>
      <c r="E69" t="s">
        <v>1912</v>
      </c>
      <c r="F69">
        <v>12</v>
      </c>
      <c r="G69">
        <v>63</v>
      </c>
      <c r="H69">
        <v>55</v>
      </c>
    </row>
    <row r="70" spans="1:8" x14ac:dyDescent="0.25">
      <c r="A70">
        <v>69</v>
      </c>
      <c r="B70" t="s">
        <v>3871</v>
      </c>
      <c r="C70" t="s">
        <v>1047</v>
      </c>
      <c r="D70" t="s">
        <v>3872</v>
      </c>
      <c r="E70" t="s">
        <v>1048</v>
      </c>
      <c r="F70">
        <v>63</v>
      </c>
      <c r="G70">
        <v>67</v>
      </c>
      <c r="H70">
        <v>11</v>
      </c>
    </row>
    <row r="71" spans="1:8" x14ac:dyDescent="0.25">
      <c r="A71">
        <v>70</v>
      </c>
      <c r="B71" t="s">
        <v>346</v>
      </c>
      <c r="C71" t="s">
        <v>347</v>
      </c>
      <c r="D71" t="s">
        <v>348</v>
      </c>
      <c r="E71" t="s">
        <v>349</v>
      </c>
      <c r="F71">
        <v>13</v>
      </c>
      <c r="G71">
        <v>68</v>
      </c>
      <c r="H71">
        <v>31</v>
      </c>
    </row>
    <row r="72" spans="1:8" x14ac:dyDescent="0.25">
      <c r="A72">
        <v>71</v>
      </c>
      <c r="B72" t="s">
        <v>1141</v>
      </c>
      <c r="C72" t="s">
        <v>1142</v>
      </c>
      <c r="D72" t="s">
        <v>1143</v>
      </c>
      <c r="E72" t="s">
        <v>1144</v>
      </c>
      <c r="F72">
        <v>52</v>
      </c>
      <c r="G72">
        <v>73</v>
      </c>
      <c r="H72">
        <v>59</v>
      </c>
    </row>
    <row r="73" spans="1:8" x14ac:dyDescent="0.25">
      <c r="A73">
        <v>72</v>
      </c>
      <c r="B73" t="s">
        <v>4410</v>
      </c>
      <c r="C73" t="s">
        <v>4411</v>
      </c>
      <c r="D73" t="s">
        <v>4412</v>
      </c>
      <c r="E73" t="s">
        <v>4413</v>
      </c>
      <c r="F73">
        <v>72</v>
      </c>
      <c r="G73">
        <v>72</v>
      </c>
      <c r="H73">
        <v>6</v>
      </c>
    </row>
    <row r="74" spans="1:8" x14ac:dyDescent="0.25">
      <c r="A74">
        <v>73</v>
      </c>
      <c r="B74" t="s">
        <v>933</v>
      </c>
      <c r="C74" t="s">
        <v>934</v>
      </c>
      <c r="D74" t="s">
        <v>935</v>
      </c>
      <c r="E74" t="s">
        <v>936</v>
      </c>
      <c r="F74">
        <v>73</v>
      </c>
      <c r="G74">
        <v>75</v>
      </c>
      <c r="H74">
        <v>2</v>
      </c>
    </row>
    <row r="75" spans="1:8" x14ac:dyDescent="0.25">
      <c r="A75">
        <v>74</v>
      </c>
      <c r="B75" t="s">
        <v>1113</v>
      </c>
      <c r="C75" t="s">
        <v>273</v>
      </c>
      <c r="D75" t="s">
        <v>1114</v>
      </c>
      <c r="E75" t="s">
        <v>275</v>
      </c>
      <c r="F75">
        <v>4</v>
      </c>
      <c r="G75">
        <v>70</v>
      </c>
      <c r="H75">
        <v>59</v>
      </c>
    </row>
    <row r="76" spans="1:8" x14ac:dyDescent="0.25">
      <c r="A76">
        <v>75</v>
      </c>
      <c r="B76" t="s">
        <v>1568</v>
      </c>
      <c r="C76" t="s">
        <v>1544</v>
      </c>
      <c r="D76" t="s">
        <v>1569</v>
      </c>
      <c r="E76" t="s">
        <v>1570</v>
      </c>
      <c r="F76">
        <v>38</v>
      </c>
      <c r="G76">
        <v>76</v>
      </c>
      <c r="H76">
        <v>19</v>
      </c>
    </row>
    <row r="77" spans="1:8" x14ac:dyDescent="0.25">
      <c r="A77">
        <v>76</v>
      </c>
      <c r="B77" t="s">
        <v>4575</v>
      </c>
      <c r="C77" t="s">
        <v>1773</v>
      </c>
      <c r="D77" t="s">
        <v>4576</v>
      </c>
      <c r="E77" t="s">
        <v>2396</v>
      </c>
      <c r="F77">
        <v>59</v>
      </c>
      <c r="G77">
        <v>66</v>
      </c>
      <c r="H77">
        <v>3</v>
      </c>
    </row>
    <row r="78" spans="1:8" x14ac:dyDescent="0.25">
      <c r="A78">
        <v>77</v>
      </c>
      <c r="B78" t="s">
        <v>911</v>
      </c>
      <c r="C78" t="s">
        <v>912</v>
      </c>
      <c r="D78" t="s">
        <v>913</v>
      </c>
      <c r="E78" t="s">
        <v>914</v>
      </c>
      <c r="F78">
        <v>9</v>
      </c>
      <c r="G78">
        <v>71</v>
      </c>
      <c r="H78">
        <v>17</v>
      </c>
    </row>
    <row r="79" spans="1:8" x14ac:dyDescent="0.25">
      <c r="A79">
        <v>78</v>
      </c>
      <c r="B79" t="s">
        <v>943</v>
      </c>
      <c r="C79" t="s">
        <v>944</v>
      </c>
      <c r="D79" t="s">
        <v>945</v>
      </c>
      <c r="E79" t="s">
        <v>376</v>
      </c>
      <c r="F79">
        <v>1</v>
      </c>
      <c r="G79">
        <v>74</v>
      </c>
      <c r="H79">
        <v>50</v>
      </c>
    </row>
    <row r="80" spans="1:8" x14ac:dyDescent="0.25">
      <c r="A80">
        <v>79</v>
      </c>
      <c r="B80" t="s">
        <v>1903</v>
      </c>
      <c r="C80" t="s">
        <v>1904</v>
      </c>
      <c r="D80">
        <v>0.125</v>
      </c>
      <c r="E80" t="s">
        <v>1905</v>
      </c>
      <c r="F80">
        <v>36</v>
      </c>
      <c r="G80">
        <v>79</v>
      </c>
      <c r="H80">
        <v>17</v>
      </c>
    </row>
    <row r="81" spans="1:8" x14ac:dyDescent="0.25">
      <c r="A81">
        <v>80</v>
      </c>
      <c r="B81" t="s">
        <v>498</v>
      </c>
      <c r="C81" t="s">
        <v>499</v>
      </c>
      <c r="D81" t="s">
        <v>500</v>
      </c>
      <c r="E81" t="s">
        <v>501</v>
      </c>
      <c r="F81">
        <v>9</v>
      </c>
      <c r="G81">
        <v>78</v>
      </c>
      <c r="H81">
        <v>38</v>
      </c>
    </row>
    <row r="82" spans="1:8" x14ac:dyDescent="0.25">
      <c r="A82">
        <v>81</v>
      </c>
      <c r="B82" t="s">
        <v>3865</v>
      </c>
      <c r="C82" t="s">
        <v>3866</v>
      </c>
      <c r="D82" t="s">
        <v>3867</v>
      </c>
      <c r="E82" t="s">
        <v>109</v>
      </c>
      <c r="F82">
        <v>62</v>
      </c>
      <c r="G82">
        <v>80</v>
      </c>
      <c r="H82">
        <v>10</v>
      </c>
    </row>
    <row r="83" spans="1:8" x14ac:dyDescent="0.25">
      <c r="A83">
        <v>82</v>
      </c>
      <c r="B83" t="s">
        <v>1926</v>
      </c>
      <c r="C83" t="s">
        <v>1927</v>
      </c>
      <c r="D83" t="s">
        <v>1928</v>
      </c>
      <c r="E83" t="s">
        <v>1929</v>
      </c>
      <c r="F83">
        <v>47</v>
      </c>
      <c r="G83">
        <v>81</v>
      </c>
      <c r="H83">
        <v>78</v>
      </c>
    </row>
    <row r="84" spans="1:8" x14ac:dyDescent="0.25">
      <c r="A84">
        <v>83</v>
      </c>
      <c r="B84" t="s">
        <v>1913</v>
      </c>
      <c r="C84" t="s">
        <v>1914</v>
      </c>
      <c r="D84" t="s">
        <v>1915</v>
      </c>
      <c r="E84" t="s">
        <v>1916</v>
      </c>
      <c r="F84">
        <v>40</v>
      </c>
      <c r="G84">
        <v>83</v>
      </c>
      <c r="H84">
        <v>17</v>
      </c>
    </row>
    <row r="85" spans="1:8" x14ac:dyDescent="0.25">
      <c r="A85">
        <v>84</v>
      </c>
      <c r="B85" t="s">
        <v>989</v>
      </c>
      <c r="C85" t="s">
        <v>974</v>
      </c>
      <c r="D85" t="s">
        <v>990</v>
      </c>
      <c r="E85" t="s">
        <v>976</v>
      </c>
      <c r="F85">
        <v>75</v>
      </c>
      <c r="G85">
        <v>-1</v>
      </c>
      <c r="H85">
        <v>27</v>
      </c>
    </row>
    <row r="86" spans="1:8" x14ac:dyDescent="0.25">
      <c r="A86">
        <v>85</v>
      </c>
      <c r="B86" t="s">
        <v>962</v>
      </c>
      <c r="C86" t="s">
        <v>963</v>
      </c>
      <c r="D86" t="s">
        <v>964</v>
      </c>
      <c r="E86" t="s">
        <v>963</v>
      </c>
      <c r="F86">
        <v>5</v>
      </c>
      <c r="G86">
        <v>84</v>
      </c>
      <c r="H86">
        <v>110</v>
      </c>
    </row>
    <row r="87" spans="1:8" x14ac:dyDescent="0.25">
      <c r="A87">
        <v>86</v>
      </c>
      <c r="B87" t="s">
        <v>4606</v>
      </c>
      <c r="C87" t="s">
        <v>4607</v>
      </c>
      <c r="D87" t="s">
        <v>4608</v>
      </c>
      <c r="E87" t="s">
        <v>1329</v>
      </c>
      <c r="F87">
        <v>16</v>
      </c>
      <c r="G87">
        <v>94</v>
      </c>
      <c r="H87">
        <v>45</v>
      </c>
    </row>
    <row r="88" spans="1:8" x14ac:dyDescent="0.25">
      <c r="A88">
        <v>87</v>
      </c>
      <c r="B88" t="s">
        <v>4640</v>
      </c>
      <c r="C88" t="s">
        <v>4641</v>
      </c>
      <c r="D88" t="s">
        <v>4642</v>
      </c>
      <c r="E88" t="s">
        <v>4643</v>
      </c>
      <c r="F88">
        <v>86</v>
      </c>
      <c r="G88">
        <v>96</v>
      </c>
      <c r="H88">
        <v>9</v>
      </c>
    </row>
    <row r="89" spans="1:8" x14ac:dyDescent="0.25">
      <c r="A89">
        <v>88</v>
      </c>
      <c r="B89" t="s">
        <v>3699</v>
      </c>
      <c r="C89" t="s">
        <v>3700</v>
      </c>
      <c r="D89" t="s">
        <v>3701</v>
      </c>
      <c r="E89" t="s">
        <v>3702</v>
      </c>
      <c r="F89">
        <v>88</v>
      </c>
      <c r="G89">
        <v>88</v>
      </c>
      <c r="H89">
        <v>3</v>
      </c>
    </row>
    <row r="90" spans="1:8" x14ac:dyDescent="0.25">
      <c r="A90">
        <v>89</v>
      </c>
      <c r="B90" t="s">
        <v>4657</v>
      </c>
      <c r="C90" t="s">
        <v>4658</v>
      </c>
      <c r="D90" t="s">
        <v>4659</v>
      </c>
      <c r="E90" t="s">
        <v>1124</v>
      </c>
      <c r="F90">
        <v>57</v>
      </c>
      <c r="G90">
        <v>97</v>
      </c>
      <c r="H90">
        <v>23</v>
      </c>
    </row>
    <row r="91" spans="1:8" x14ac:dyDescent="0.25">
      <c r="A91">
        <v>90</v>
      </c>
      <c r="B91" t="s">
        <v>139</v>
      </c>
      <c r="C91" t="s">
        <v>140</v>
      </c>
      <c r="D91" t="s">
        <v>141</v>
      </c>
      <c r="E91" t="s">
        <v>142</v>
      </c>
      <c r="F91">
        <v>58</v>
      </c>
      <c r="G91">
        <v>89</v>
      </c>
      <c r="H91">
        <v>34</v>
      </c>
    </row>
    <row r="92" spans="1:8" x14ac:dyDescent="0.25">
      <c r="A92">
        <v>91</v>
      </c>
      <c r="B92" t="s">
        <v>1917</v>
      </c>
      <c r="C92" t="s">
        <v>1918</v>
      </c>
      <c r="D92" t="s">
        <v>1919</v>
      </c>
      <c r="E92" t="s">
        <v>1920</v>
      </c>
      <c r="F92">
        <v>5</v>
      </c>
      <c r="G92">
        <v>91</v>
      </c>
      <c r="H92">
        <v>52</v>
      </c>
    </row>
    <row r="93" spans="1:8" x14ac:dyDescent="0.25">
      <c r="A93">
        <v>92</v>
      </c>
      <c r="B93" t="s">
        <v>1165</v>
      </c>
      <c r="C93" t="s">
        <v>1166</v>
      </c>
      <c r="D93" t="s">
        <v>1167</v>
      </c>
      <c r="E93" t="s">
        <v>1168</v>
      </c>
      <c r="F93">
        <v>31</v>
      </c>
      <c r="G93">
        <v>87</v>
      </c>
      <c r="H93">
        <v>82</v>
      </c>
    </row>
    <row r="94" spans="1:8" x14ac:dyDescent="0.25">
      <c r="A94">
        <v>93</v>
      </c>
      <c r="B94" t="s">
        <v>1922</v>
      </c>
      <c r="C94" t="s">
        <v>1923</v>
      </c>
      <c r="D94" t="s">
        <v>1924</v>
      </c>
      <c r="E94" t="s">
        <v>1925</v>
      </c>
      <c r="F94">
        <v>39</v>
      </c>
      <c r="G94">
        <v>95</v>
      </c>
      <c r="H94">
        <v>31</v>
      </c>
    </row>
    <row r="95" spans="1:8" x14ac:dyDescent="0.25">
      <c r="A95">
        <v>94</v>
      </c>
      <c r="B95" t="s">
        <v>4603</v>
      </c>
      <c r="C95" t="s">
        <v>4604</v>
      </c>
      <c r="D95" t="s">
        <v>4605</v>
      </c>
      <c r="E95" t="s">
        <v>341</v>
      </c>
      <c r="F95">
        <v>93</v>
      </c>
      <c r="G95">
        <v>93</v>
      </c>
      <c r="H95">
        <v>3</v>
      </c>
    </row>
    <row r="96" spans="1:8" x14ac:dyDescent="0.25">
      <c r="A96">
        <v>95</v>
      </c>
      <c r="B96" t="s">
        <v>4565</v>
      </c>
      <c r="C96" t="s">
        <v>1802</v>
      </c>
      <c r="D96" t="s">
        <v>4566</v>
      </c>
      <c r="E96" t="s">
        <v>2334</v>
      </c>
      <c r="F96">
        <v>95</v>
      </c>
      <c r="G96">
        <v>-1</v>
      </c>
      <c r="H96">
        <v>5</v>
      </c>
    </row>
    <row r="97" spans="1:8" x14ac:dyDescent="0.25">
      <c r="A97">
        <v>96</v>
      </c>
      <c r="B97" t="s">
        <v>404</v>
      </c>
      <c r="C97" t="s">
        <v>405</v>
      </c>
      <c r="D97" t="s">
        <v>406</v>
      </c>
      <c r="E97" t="s">
        <v>407</v>
      </c>
      <c r="F97">
        <v>2</v>
      </c>
      <c r="G97">
        <v>90</v>
      </c>
      <c r="H97">
        <v>28</v>
      </c>
    </row>
    <row r="98" spans="1:8" x14ac:dyDescent="0.25">
      <c r="A98">
        <v>97</v>
      </c>
      <c r="B98" t="s">
        <v>3929</v>
      </c>
      <c r="C98" t="s">
        <v>3869</v>
      </c>
      <c r="D98" t="s">
        <v>3930</v>
      </c>
      <c r="E98" t="s">
        <v>1869</v>
      </c>
      <c r="F98">
        <v>25</v>
      </c>
      <c r="G98">
        <v>86</v>
      </c>
      <c r="H98">
        <v>40</v>
      </c>
    </row>
    <row r="99" spans="1:8" x14ac:dyDescent="0.25">
      <c r="A99">
        <v>98</v>
      </c>
      <c r="B99" t="s">
        <v>3862</v>
      </c>
      <c r="C99" t="s">
        <v>3863</v>
      </c>
      <c r="D99" t="s">
        <v>3864</v>
      </c>
      <c r="E99" t="s">
        <v>1133</v>
      </c>
      <c r="F99">
        <v>35</v>
      </c>
      <c r="G99">
        <v>82</v>
      </c>
      <c r="H99">
        <v>10</v>
      </c>
    </row>
    <row r="100" spans="1:8" x14ac:dyDescent="0.25">
      <c r="A100">
        <v>99</v>
      </c>
      <c r="B100" t="s">
        <v>3709</v>
      </c>
      <c r="C100" t="s">
        <v>3710</v>
      </c>
      <c r="D100" t="s">
        <v>3711</v>
      </c>
      <c r="E100" t="s">
        <v>3712</v>
      </c>
      <c r="F100">
        <v>98</v>
      </c>
      <c r="G100">
        <v>-1</v>
      </c>
      <c r="H100">
        <v>2</v>
      </c>
    </row>
    <row r="101" spans="1:8" x14ac:dyDescent="0.25">
      <c r="A101">
        <v>100</v>
      </c>
      <c r="B101" t="s">
        <v>1934</v>
      </c>
      <c r="C101" t="s">
        <v>1935</v>
      </c>
      <c r="D101" t="s">
        <v>1936</v>
      </c>
      <c r="E101" t="s">
        <v>1937</v>
      </c>
      <c r="F101">
        <v>31</v>
      </c>
      <c r="G101">
        <v>92</v>
      </c>
      <c r="H101">
        <v>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AE38F-4127-4BC4-824B-BFE2565C1154}">
  <sheetPr codeName="Planilha9"/>
  <dimension ref="A1:I201"/>
  <sheetViews>
    <sheetView showGridLines="0" topLeftCell="E1" zoomScale="90" zoomScaleNormal="90" workbookViewId="0">
      <selection activeCell="E5" sqref="E5"/>
    </sheetView>
  </sheetViews>
  <sheetFormatPr defaultRowHeight="15" x14ac:dyDescent="0.25"/>
  <cols>
    <col min="1" max="1" width="7.42578125" bestFit="1" customWidth="1"/>
    <col min="2" max="2" width="40.28515625" bestFit="1" customWidth="1"/>
    <col min="3" max="4" width="81.140625" bestFit="1" customWidth="1"/>
    <col min="5" max="5" width="64.710937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0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1956</v>
      </c>
      <c r="I1" t="s">
        <v>8</v>
      </c>
    </row>
    <row r="2" spans="1:9" x14ac:dyDescent="0.25">
      <c r="A2">
        <v>1</v>
      </c>
      <c r="B2" t="s">
        <v>272</v>
      </c>
      <c r="C2" t="s">
        <v>273</v>
      </c>
      <c r="D2" t="s">
        <v>274</v>
      </c>
      <c r="E2" t="s">
        <v>275</v>
      </c>
      <c r="F2">
        <v>1</v>
      </c>
      <c r="G2">
        <v>1</v>
      </c>
      <c r="H2">
        <v>11</v>
      </c>
      <c r="I2">
        <v>55261690</v>
      </c>
    </row>
    <row r="3" spans="1:9" x14ac:dyDescent="0.25">
      <c r="A3">
        <v>2</v>
      </c>
      <c r="B3" t="s">
        <v>4297</v>
      </c>
      <c r="C3" t="s">
        <v>496</v>
      </c>
      <c r="D3" t="s">
        <v>4226</v>
      </c>
      <c r="E3" t="s">
        <v>1133</v>
      </c>
      <c r="F3">
        <v>2</v>
      </c>
      <c r="G3">
        <v>-1</v>
      </c>
      <c r="H3">
        <v>1</v>
      </c>
      <c r="I3">
        <v>42261309</v>
      </c>
    </row>
    <row r="4" spans="1:9" x14ac:dyDescent="0.25">
      <c r="A4">
        <v>3</v>
      </c>
      <c r="B4" t="s">
        <v>1055</v>
      </c>
      <c r="C4" t="s">
        <v>266</v>
      </c>
      <c r="D4" t="s">
        <v>267</v>
      </c>
      <c r="E4" t="s">
        <v>268</v>
      </c>
      <c r="F4">
        <v>1</v>
      </c>
      <c r="G4">
        <v>2</v>
      </c>
      <c r="H4">
        <v>24</v>
      </c>
      <c r="I4">
        <v>37675643</v>
      </c>
    </row>
    <row r="5" spans="1:9" x14ac:dyDescent="0.25">
      <c r="A5">
        <v>4</v>
      </c>
      <c r="B5" t="s">
        <v>4298</v>
      </c>
      <c r="C5" t="s">
        <v>496</v>
      </c>
      <c r="D5" t="s">
        <v>1132</v>
      </c>
      <c r="E5" t="s">
        <v>1133</v>
      </c>
      <c r="F5">
        <v>1</v>
      </c>
      <c r="G5">
        <v>20</v>
      </c>
      <c r="H5">
        <v>13</v>
      </c>
      <c r="I5">
        <v>33901673</v>
      </c>
    </row>
    <row r="6" spans="1:9" x14ac:dyDescent="0.25">
      <c r="A6">
        <v>5</v>
      </c>
      <c r="B6" t="s">
        <v>106</v>
      </c>
      <c r="C6" t="s">
        <v>107</v>
      </c>
      <c r="D6" t="s">
        <v>108</v>
      </c>
      <c r="E6" t="s">
        <v>109</v>
      </c>
      <c r="F6">
        <v>1</v>
      </c>
      <c r="G6">
        <v>3</v>
      </c>
      <c r="H6">
        <v>30</v>
      </c>
      <c r="I6">
        <v>32057920</v>
      </c>
    </row>
    <row r="7" spans="1:9" x14ac:dyDescent="0.25">
      <c r="A7">
        <v>6</v>
      </c>
      <c r="B7" t="s">
        <v>1109</v>
      </c>
      <c r="C7" t="s">
        <v>1034</v>
      </c>
      <c r="D7" t="s">
        <v>1110</v>
      </c>
      <c r="E7" t="s">
        <v>275</v>
      </c>
      <c r="F7">
        <v>4</v>
      </c>
      <c r="G7">
        <v>4</v>
      </c>
      <c r="H7">
        <v>11</v>
      </c>
      <c r="I7">
        <v>29781130</v>
      </c>
    </row>
    <row r="8" spans="1:9" x14ac:dyDescent="0.25">
      <c r="A8">
        <v>7</v>
      </c>
      <c r="B8" t="s">
        <v>1033</v>
      </c>
      <c r="C8" t="s">
        <v>1034</v>
      </c>
      <c r="D8" t="s">
        <v>1035</v>
      </c>
      <c r="E8" t="s">
        <v>275</v>
      </c>
      <c r="F8">
        <v>4</v>
      </c>
      <c r="G8">
        <v>5</v>
      </c>
      <c r="H8">
        <v>11</v>
      </c>
      <c r="I8">
        <v>28548913</v>
      </c>
    </row>
    <row r="9" spans="1:9" x14ac:dyDescent="0.25">
      <c r="A9">
        <v>8</v>
      </c>
      <c r="B9" t="s">
        <v>1111</v>
      </c>
      <c r="C9" t="s">
        <v>273</v>
      </c>
      <c r="D9" t="s">
        <v>1112</v>
      </c>
      <c r="E9" t="s">
        <v>275</v>
      </c>
      <c r="F9">
        <v>6</v>
      </c>
      <c r="G9">
        <v>6</v>
      </c>
      <c r="H9">
        <v>11</v>
      </c>
      <c r="I9">
        <v>25254758</v>
      </c>
    </row>
    <row r="10" spans="1:9" x14ac:dyDescent="0.25">
      <c r="A10">
        <v>9</v>
      </c>
      <c r="B10" t="s">
        <v>4299</v>
      </c>
      <c r="C10" t="s">
        <v>496</v>
      </c>
      <c r="D10" t="s">
        <v>4231</v>
      </c>
      <c r="E10" t="s">
        <v>1133</v>
      </c>
      <c r="F10">
        <v>9</v>
      </c>
      <c r="G10">
        <v>-1</v>
      </c>
      <c r="H10">
        <v>1</v>
      </c>
      <c r="I10">
        <v>25228243</v>
      </c>
    </row>
    <row r="11" spans="1:9" x14ac:dyDescent="0.25">
      <c r="A11">
        <v>10</v>
      </c>
      <c r="B11" t="s">
        <v>4303</v>
      </c>
      <c r="C11" t="s">
        <v>496</v>
      </c>
      <c r="D11" t="s">
        <v>4237</v>
      </c>
      <c r="E11" t="s">
        <v>1133</v>
      </c>
      <c r="F11">
        <v>10</v>
      </c>
      <c r="G11">
        <v>-1</v>
      </c>
      <c r="H11">
        <v>1</v>
      </c>
      <c r="I11">
        <v>24585023</v>
      </c>
    </row>
    <row r="12" spans="1:9" x14ac:dyDescent="0.25">
      <c r="A12">
        <v>11</v>
      </c>
      <c r="B12" t="s">
        <v>300</v>
      </c>
      <c r="C12" t="s">
        <v>301</v>
      </c>
      <c r="D12" t="s">
        <v>302</v>
      </c>
      <c r="E12" t="s">
        <v>303</v>
      </c>
      <c r="F12">
        <v>2</v>
      </c>
      <c r="G12">
        <v>11</v>
      </c>
      <c r="H12">
        <v>16</v>
      </c>
      <c r="I12">
        <v>24362663</v>
      </c>
    </row>
    <row r="13" spans="1:9" x14ac:dyDescent="0.25">
      <c r="A13">
        <v>12</v>
      </c>
      <c r="B13" t="s">
        <v>4304</v>
      </c>
      <c r="C13" t="s">
        <v>496</v>
      </c>
      <c r="D13" t="s">
        <v>4239</v>
      </c>
      <c r="E13" t="s">
        <v>1133</v>
      </c>
      <c r="F13">
        <v>12</v>
      </c>
      <c r="G13">
        <v>-1</v>
      </c>
      <c r="H13">
        <v>1</v>
      </c>
      <c r="I13">
        <v>24304072</v>
      </c>
    </row>
    <row r="14" spans="1:9" x14ac:dyDescent="0.25">
      <c r="A14">
        <v>13</v>
      </c>
      <c r="B14" t="s">
        <v>4300</v>
      </c>
      <c r="C14" t="s">
        <v>496</v>
      </c>
      <c r="D14" t="s">
        <v>4233</v>
      </c>
      <c r="E14" t="s">
        <v>1133</v>
      </c>
      <c r="F14">
        <v>13</v>
      </c>
      <c r="G14">
        <v>-1</v>
      </c>
      <c r="H14">
        <v>1</v>
      </c>
      <c r="I14">
        <v>23340645</v>
      </c>
    </row>
    <row r="15" spans="1:9" x14ac:dyDescent="0.25">
      <c r="A15">
        <v>14</v>
      </c>
      <c r="B15" t="s">
        <v>1113</v>
      </c>
      <c r="C15" t="s">
        <v>273</v>
      </c>
      <c r="D15" t="s">
        <v>1114</v>
      </c>
      <c r="E15" t="s">
        <v>275</v>
      </c>
      <c r="F15">
        <v>9</v>
      </c>
      <c r="G15">
        <v>9</v>
      </c>
      <c r="H15">
        <v>11</v>
      </c>
      <c r="I15">
        <v>23117705</v>
      </c>
    </row>
    <row r="16" spans="1:9" x14ac:dyDescent="0.25">
      <c r="A16">
        <v>15</v>
      </c>
      <c r="B16" t="s">
        <v>1115</v>
      </c>
      <c r="C16" t="s">
        <v>620</v>
      </c>
      <c r="D16" t="s">
        <v>1116</v>
      </c>
      <c r="E16" t="s">
        <v>1117</v>
      </c>
      <c r="F16">
        <v>2</v>
      </c>
      <c r="G16">
        <v>7</v>
      </c>
      <c r="H16">
        <v>8</v>
      </c>
      <c r="I16">
        <v>22999767</v>
      </c>
    </row>
    <row r="17" spans="1:9" x14ac:dyDescent="0.25">
      <c r="A17">
        <v>16</v>
      </c>
      <c r="B17" t="s">
        <v>229</v>
      </c>
      <c r="C17" t="s">
        <v>230</v>
      </c>
      <c r="D17" t="s">
        <v>231</v>
      </c>
      <c r="E17" t="s">
        <v>232</v>
      </c>
      <c r="F17">
        <v>1</v>
      </c>
      <c r="G17">
        <v>8</v>
      </c>
      <c r="H17">
        <v>55</v>
      </c>
      <c r="I17">
        <v>22897411</v>
      </c>
    </row>
    <row r="18" spans="1:9" x14ac:dyDescent="0.25">
      <c r="A18">
        <v>17</v>
      </c>
      <c r="B18" t="s">
        <v>1118</v>
      </c>
      <c r="C18" t="s">
        <v>481</v>
      </c>
      <c r="D18" t="s">
        <v>1119</v>
      </c>
      <c r="E18" t="s">
        <v>1120</v>
      </c>
      <c r="F18">
        <v>1</v>
      </c>
      <c r="G18">
        <v>10</v>
      </c>
      <c r="H18">
        <v>68</v>
      </c>
      <c r="I18">
        <v>22457670</v>
      </c>
    </row>
    <row r="19" spans="1:9" x14ac:dyDescent="0.25">
      <c r="A19">
        <v>18</v>
      </c>
      <c r="B19" t="s">
        <v>4305</v>
      </c>
      <c r="C19" t="s">
        <v>496</v>
      </c>
      <c r="D19" t="s">
        <v>4241</v>
      </c>
      <c r="E19" t="s">
        <v>1133</v>
      </c>
      <c r="F19">
        <v>18</v>
      </c>
      <c r="G19">
        <v>-1</v>
      </c>
      <c r="H19">
        <v>1</v>
      </c>
      <c r="I19">
        <v>22134722</v>
      </c>
    </row>
    <row r="20" spans="1:9" x14ac:dyDescent="0.25">
      <c r="A20">
        <v>19</v>
      </c>
      <c r="B20" t="s">
        <v>4308</v>
      </c>
      <c r="C20" t="s">
        <v>496</v>
      </c>
      <c r="D20" t="s">
        <v>4245</v>
      </c>
      <c r="E20" t="s">
        <v>1133</v>
      </c>
      <c r="F20">
        <v>19</v>
      </c>
      <c r="G20">
        <v>-1</v>
      </c>
      <c r="H20">
        <v>1</v>
      </c>
      <c r="I20">
        <v>21011818</v>
      </c>
    </row>
    <row r="21" spans="1:9" x14ac:dyDescent="0.25">
      <c r="A21">
        <v>20</v>
      </c>
      <c r="B21" t="s">
        <v>482</v>
      </c>
      <c r="C21" t="s">
        <v>483</v>
      </c>
      <c r="D21" t="s">
        <v>484</v>
      </c>
      <c r="E21" t="s">
        <v>268</v>
      </c>
      <c r="F21">
        <v>17</v>
      </c>
      <c r="G21">
        <v>17</v>
      </c>
      <c r="H21">
        <v>105</v>
      </c>
      <c r="I21">
        <v>20902350</v>
      </c>
    </row>
    <row r="22" spans="1:9" x14ac:dyDescent="0.25">
      <c r="A22">
        <v>21</v>
      </c>
      <c r="B22" t="s">
        <v>1121</v>
      </c>
      <c r="C22" t="s">
        <v>1122</v>
      </c>
      <c r="D22" t="s">
        <v>1123</v>
      </c>
      <c r="E22" t="s">
        <v>1124</v>
      </c>
      <c r="F22">
        <v>5</v>
      </c>
      <c r="G22">
        <v>12</v>
      </c>
      <c r="H22">
        <v>27</v>
      </c>
      <c r="I22">
        <v>20779083</v>
      </c>
    </row>
    <row r="23" spans="1:9" x14ac:dyDescent="0.25">
      <c r="A23">
        <v>22</v>
      </c>
      <c r="B23" t="s">
        <v>498</v>
      </c>
      <c r="C23" t="s">
        <v>499</v>
      </c>
      <c r="D23" t="s">
        <v>500</v>
      </c>
      <c r="E23" t="s">
        <v>501</v>
      </c>
      <c r="F23">
        <v>1</v>
      </c>
      <c r="G23">
        <v>13</v>
      </c>
      <c r="H23">
        <v>8</v>
      </c>
      <c r="I23">
        <v>20636445</v>
      </c>
    </row>
    <row r="24" spans="1:9" x14ac:dyDescent="0.25">
      <c r="A24">
        <v>23</v>
      </c>
      <c r="B24" t="s">
        <v>1125</v>
      </c>
      <c r="C24" t="s">
        <v>273</v>
      </c>
      <c r="D24" t="s">
        <v>1126</v>
      </c>
      <c r="E24" t="s">
        <v>275</v>
      </c>
      <c r="F24">
        <v>15</v>
      </c>
      <c r="G24">
        <v>15</v>
      </c>
      <c r="H24">
        <v>10</v>
      </c>
      <c r="I24">
        <v>20473109</v>
      </c>
    </row>
    <row r="25" spans="1:9" x14ac:dyDescent="0.25">
      <c r="A25">
        <v>24</v>
      </c>
      <c r="B25" t="s">
        <v>1003</v>
      </c>
      <c r="C25" t="s">
        <v>1004</v>
      </c>
      <c r="D25" t="s">
        <v>1005</v>
      </c>
      <c r="E25" t="s">
        <v>275</v>
      </c>
      <c r="F25">
        <v>14</v>
      </c>
      <c r="G25">
        <v>14</v>
      </c>
      <c r="H25">
        <v>11</v>
      </c>
      <c r="I25">
        <v>20321384</v>
      </c>
    </row>
    <row r="26" spans="1:9" x14ac:dyDescent="0.25">
      <c r="A26">
        <v>25</v>
      </c>
      <c r="B26" t="s">
        <v>1319</v>
      </c>
      <c r="C26" t="s">
        <v>1320</v>
      </c>
      <c r="D26" t="s">
        <v>1321</v>
      </c>
      <c r="E26" t="s">
        <v>1322</v>
      </c>
      <c r="F26">
        <v>25</v>
      </c>
      <c r="G26">
        <v>40</v>
      </c>
      <c r="H26">
        <v>2</v>
      </c>
      <c r="I26">
        <v>20307756</v>
      </c>
    </row>
    <row r="27" spans="1:9" x14ac:dyDescent="0.25">
      <c r="A27">
        <v>26</v>
      </c>
      <c r="B27" t="s">
        <v>4309</v>
      </c>
      <c r="C27" t="s">
        <v>496</v>
      </c>
      <c r="D27" t="s">
        <v>4249</v>
      </c>
      <c r="E27" t="s">
        <v>1133</v>
      </c>
      <c r="F27">
        <v>26</v>
      </c>
      <c r="G27">
        <v>-1</v>
      </c>
      <c r="H27">
        <v>1</v>
      </c>
      <c r="I27">
        <v>20296751</v>
      </c>
    </row>
    <row r="28" spans="1:9" x14ac:dyDescent="0.25">
      <c r="A28">
        <v>27</v>
      </c>
      <c r="B28" t="s">
        <v>4302</v>
      </c>
      <c r="C28" t="s">
        <v>496</v>
      </c>
      <c r="D28" t="s">
        <v>4235</v>
      </c>
      <c r="E28" t="s">
        <v>1133</v>
      </c>
      <c r="F28">
        <v>27</v>
      </c>
      <c r="G28">
        <v>-1</v>
      </c>
      <c r="H28">
        <v>1</v>
      </c>
      <c r="I28">
        <v>20175176</v>
      </c>
    </row>
    <row r="29" spans="1:9" x14ac:dyDescent="0.25">
      <c r="A29">
        <v>28</v>
      </c>
      <c r="B29" t="s">
        <v>502</v>
      </c>
      <c r="C29" t="s">
        <v>503</v>
      </c>
      <c r="D29" t="s">
        <v>504</v>
      </c>
      <c r="E29" t="s">
        <v>505</v>
      </c>
      <c r="F29">
        <v>15</v>
      </c>
      <c r="G29">
        <v>18</v>
      </c>
      <c r="H29">
        <v>11</v>
      </c>
      <c r="I29">
        <v>20002656</v>
      </c>
    </row>
    <row r="30" spans="1:9" x14ac:dyDescent="0.25">
      <c r="A30">
        <v>29</v>
      </c>
      <c r="B30" t="s">
        <v>1129</v>
      </c>
      <c r="C30" t="s">
        <v>1130</v>
      </c>
      <c r="D30" t="s">
        <v>1131</v>
      </c>
      <c r="E30" t="s">
        <v>109</v>
      </c>
      <c r="F30">
        <v>8</v>
      </c>
      <c r="G30">
        <v>16</v>
      </c>
      <c r="H30">
        <v>24</v>
      </c>
      <c r="I30">
        <v>19990050</v>
      </c>
    </row>
    <row r="31" spans="1:9" x14ac:dyDescent="0.25">
      <c r="A31">
        <v>30</v>
      </c>
      <c r="B31" t="s">
        <v>954</v>
      </c>
      <c r="C31" t="s">
        <v>955</v>
      </c>
      <c r="D31" t="s">
        <v>956</v>
      </c>
      <c r="E31" t="s">
        <v>957</v>
      </c>
      <c r="F31">
        <v>19</v>
      </c>
      <c r="G31">
        <v>19</v>
      </c>
      <c r="H31">
        <v>10</v>
      </c>
      <c r="I31">
        <v>19969471</v>
      </c>
    </row>
    <row r="32" spans="1:9" x14ac:dyDescent="0.25">
      <c r="A32">
        <v>31</v>
      </c>
      <c r="B32" t="s">
        <v>4306</v>
      </c>
      <c r="C32" t="s">
        <v>496</v>
      </c>
      <c r="D32" t="s">
        <v>4243</v>
      </c>
      <c r="E32" t="s">
        <v>1133</v>
      </c>
      <c r="F32">
        <v>31</v>
      </c>
      <c r="G32">
        <v>-1</v>
      </c>
      <c r="H32">
        <v>1</v>
      </c>
      <c r="I32">
        <v>19910060</v>
      </c>
    </row>
    <row r="33" spans="1:9" x14ac:dyDescent="0.25">
      <c r="A33">
        <v>32</v>
      </c>
      <c r="B33" t="s">
        <v>1104</v>
      </c>
      <c r="C33" t="s">
        <v>1105</v>
      </c>
      <c r="D33" t="s">
        <v>1106</v>
      </c>
      <c r="E33" t="s">
        <v>303</v>
      </c>
      <c r="F33">
        <v>1</v>
      </c>
      <c r="G33">
        <v>24</v>
      </c>
      <c r="H33">
        <v>59</v>
      </c>
      <c r="I33">
        <v>18281698</v>
      </c>
    </row>
    <row r="34" spans="1:9" x14ac:dyDescent="0.25">
      <c r="A34">
        <v>33</v>
      </c>
      <c r="B34" t="s">
        <v>1127</v>
      </c>
      <c r="C34" t="s">
        <v>266</v>
      </c>
      <c r="D34" t="s">
        <v>1128</v>
      </c>
      <c r="E34" t="s">
        <v>268</v>
      </c>
      <c r="F34">
        <v>6</v>
      </c>
      <c r="G34">
        <v>21</v>
      </c>
      <c r="H34">
        <v>23</v>
      </c>
      <c r="I34">
        <v>18198992</v>
      </c>
    </row>
    <row r="35" spans="1:9" x14ac:dyDescent="0.25">
      <c r="A35">
        <v>34</v>
      </c>
      <c r="B35" t="s">
        <v>1149</v>
      </c>
      <c r="C35" t="s">
        <v>1150</v>
      </c>
      <c r="D35" t="s">
        <v>1151</v>
      </c>
      <c r="E35" t="s">
        <v>1152</v>
      </c>
      <c r="F35">
        <v>7</v>
      </c>
      <c r="G35">
        <v>26</v>
      </c>
      <c r="H35">
        <v>55</v>
      </c>
      <c r="I35">
        <v>17333347</v>
      </c>
    </row>
    <row r="36" spans="1:9" x14ac:dyDescent="0.25">
      <c r="A36">
        <v>35</v>
      </c>
      <c r="B36" t="s">
        <v>334</v>
      </c>
      <c r="C36" t="s">
        <v>335</v>
      </c>
      <c r="D36" t="s">
        <v>336</v>
      </c>
      <c r="E36" t="s">
        <v>337</v>
      </c>
      <c r="F36">
        <v>1</v>
      </c>
      <c r="G36">
        <v>25</v>
      </c>
      <c r="H36">
        <v>85</v>
      </c>
      <c r="I36">
        <v>17115760</v>
      </c>
    </row>
    <row r="37" spans="1:9" x14ac:dyDescent="0.25">
      <c r="A37">
        <v>36</v>
      </c>
      <c r="B37" t="s">
        <v>1186</v>
      </c>
      <c r="C37" t="s">
        <v>511</v>
      </c>
      <c r="D37" t="s">
        <v>1187</v>
      </c>
      <c r="E37" t="s">
        <v>1164</v>
      </c>
      <c r="F37">
        <v>30</v>
      </c>
      <c r="G37">
        <v>30</v>
      </c>
      <c r="H37">
        <v>54</v>
      </c>
      <c r="I37">
        <v>16709978</v>
      </c>
    </row>
    <row r="38" spans="1:9" x14ac:dyDescent="0.25">
      <c r="A38">
        <v>37</v>
      </c>
      <c r="B38" t="s">
        <v>4307</v>
      </c>
      <c r="C38" t="s">
        <v>496</v>
      </c>
      <c r="D38" t="s">
        <v>4247</v>
      </c>
      <c r="E38" t="s">
        <v>1133</v>
      </c>
      <c r="F38">
        <v>37</v>
      </c>
      <c r="G38">
        <v>-1</v>
      </c>
      <c r="H38">
        <v>1</v>
      </c>
      <c r="I38">
        <v>16471101</v>
      </c>
    </row>
    <row r="39" spans="1:9" x14ac:dyDescent="0.25">
      <c r="A39">
        <v>38</v>
      </c>
      <c r="B39" t="s">
        <v>1141</v>
      </c>
      <c r="C39" t="s">
        <v>1142</v>
      </c>
      <c r="D39" t="s">
        <v>1143</v>
      </c>
      <c r="E39" t="s">
        <v>1144</v>
      </c>
      <c r="F39">
        <v>29</v>
      </c>
      <c r="G39">
        <v>29</v>
      </c>
      <c r="H39">
        <v>8</v>
      </c>
      <c r="I39">
        <v>16399403</v>
      </c>
    </row>
    <row r="40" spans="1:9" x14ac:dyDescent="0.25">
      <c r="A40">
        <v>39</v>
      </c>
      <c r="B40" t="s">
        <v>1162</v>
      </c>
      <c r="C40" t="s">
        <v>511</v>
      </c>
      <c r="D40" t="s">
        <v>1163</v>
      </c>
      <c r="E40" t="s">
        <v>1164</v>
      </c>
      <c r="F40">
        <v>19</v>
      </c>
      <c r="G40">
        <v>31</v>
      </c>
      <c r="H40">
        <v>246</v>
      </c>
      <c r="I40">
        <v>16186783</v>
      </c>
    </row>
    <row r="41" spans="1:9" x14ac:dyDescent="0.25">
      <c r="A41">
        <v>40</v>
      </c>
      <c r="B41" t="s">
        <v>1156</v>
      </c>
      <c r="C41" t="s">
        <v>481</v>
      </c>
      <c r="D41" t="s">
        <v>1157</v>
      </c>
      <c r="E41" t="s">
        <v>1120</v>
      </c>
      <c r="F41">
        <v>9</v>
      </c>
      <c r="G41">
        <v>28</v>
      </c>
      <c r="H41">
        <v>68</v>
      </c>
      <c r="I41">
        <v>16074079</v>
      </c>
    </row>
    <row r="42" spans="1:9" x14ac:dyDescent="0.25">
      <c r="A42">
        <v>41</v>
      </c>
      <c r="B42" t="s">
        <v>1134</v>
      </c>
      <c r="C42" t="s">
        <v>1135</v>
      </c>
      <c r="D42" t="s">
        <v>1136</v>
      </c>
      <c r="E42" t="s">
        <v>109</v>
      </c>
      <c r="F42">
        <v>1</v>
      </c>
      <c r="G42">
        <v>27</v>
      </c>
      <c r="H42">
        <v>46</v>
      </c>
      <c r="I42">
        <v>15993741</v>
      </c>
    </row>
    <row r="43" spans="1:9" x14ac:dyDescent="0.25">
      <c r="A43">
        <v>42</v>
      </c>
      <c r="B43" t="s">
        <v>1145</v>
      </c>
      <c r="C43" t="s">
        <v>1146</v>
      </c>
      <c r="D43" t="s">
        <v>1147</v>
      </c>
      <c r="E43" t="s">
        <v>1148</v>
      </c>
      <c r="F43">
        <v>15</v>
      </c>
      <c r="G43">
        <v>23</v>
      </c>
      <c r="H43">
        <v>150</v>
      </c>
      <c r="I43">
        <v>15951041</v>
      </c>
    </row>
    <row r="44" spans="1:9" x14ac:dyDescent="0.25">
      <c r="A44">
        <v>43</v>
      </c>
      <c r="B44" t="s">
        <v>911</v>
      </c>
      <c r="C44" t="s">
        <v>912</v>
      </c>
      <c r="D44" t="s">
        <v>913</v>
      </c>
      <c r="E44" t="s">
        <v>914</v>
      </c>
      <c r="F44">
        <v>3</v>
      </c>
      <c r="G44">
        <v>22</v>
      </c>
      <c r="H44">
        <v>5</v>
      </c>
      <c r="I44">
        <v>15821652</v>
      </c>
    </row>
    <row r="45" spans="1:9" x14ac:dyDescent="0.25">
      <c r="A45">
        <v>44</v>
      </c>
      <c r="B45" t="s">
        <v>1188</v>
      </c>
      <c r="C45" t="s">
        <v>266</v>
      </c>
      <c r="D45" t="s">
        <v>1020</v>
      </c>
      <c r="E45" t="s">
        <v>268</v>
      </c>
      <c r="F45">
        <v>35</v>
      </c>
      <c r="G45">
        <v>35</v>
      </c>
      <c r="H45">
        <v>6</v>
      </c>
      <c r="I45">
        <v>15474796</v>
      </c>
    </row>
    <row r="46" spans="1:9" x14ac:dyDescent="0.25">
      <c r="A46">
        <v>45</v>
      </c>
      <c r="B46" t="s">
        <v>338</v>
      </c>
      <c r="C46" t="s">
        <v>339</v>
      </c>
      <c r="D46" t="s">
        <v>340</v>
      </c>
      <c r="E46" t="s">
        <v>341</v>
      </c>
      <c r="F46">
        <v>16</v>
      </c>
      <c r="G46">
        <v>37</v>
      </c>
      <c r="H46">
        <v>262</v>
      </c>
      <c r="I46">
        <v>15185271</v>
      </c>
    </row>
    <row r="47" spans="1:9" x14ac:dyDescent="0.25">
      <c r="A47">
        <v>46</v>
      </c>
      <c r="B47" t="s">
        <v>1225</v>
      </c>
      <c r="C47" t="s">
        <v>1226</v>
      </c>
      <c r="D47" t="s">
        <v>1227</v>
      </c>
      <c r="E47" t="s">
        <v>109</v>
      </c>
      <c r="F47">
        <v>10</v>
      </c>
      <c r="G47">
        <v>48</v>
      </c>
      <c r="H47">
        <v>14</v>
      </c>
      <c r="I47">
        <v>14698714</v>
      </c>
    </row>
    <row r="48" spans="1:9" x14ac:dyDescent="0.25">
      <c r="A48">
        <v>47</v>
      </c>
      <c r="B48" t="s">
        <v>1171</v>
      </c>
      <c r="C48" t="s">
        <v>1172</v>
      </c>
      <c r="D48" t="s">
        <v>1173</v>
      </c>
      <c r="E48" t="s">
        <v>1124</v>
      </c>
      <c r="F48">
        <v>34</v>
      </c>
      <c r="G48">
        <v>34</v>
      </c>
      <c r="H48">
        <v>12</v>
      </c>
      <c r="I48">
        <v>14657649</v>
      </c>
    </row>
    <row r="49" spans="1:9" x14ac:dyDescent="0.25">
      <c r="A49">
        <v>48</v>
      </c>
      <c r="B49" t="s">
        <v>1153</v>
      </c>
      <c r="C49" t="s">
        <v>1154</v>
      </c>
      <c r="D49" t="s">
        <v>1155</v>
      </c>
      <c r="E49" t="s">
        <v>1124</v>
      </c>
      <c r="F49">
        <v>30</v>
      </c>
      <c r="G49">
        <v>33</v>
      </c>
      <c r="H49">
        <v>9</v>
      </c>
      <c r="I49">
        <v>14419586</v>
      </c>
    </row>
    <row r="50" spans="1:9" x14ac:dyDescent="0.25">
      <c r="A50">
        <v>49</v>
      </c>
      <c r="B50" t="s">
        <v>1200</v>
      </c>
      <c r="C50" t="s">
        <v>1201</v>
      </c>
      <c r="D50" t="s">
        <v>1202</v>
      </c>
      <c r="E50" t="s">
        <v>1203</v>
      </c>
      <c r="F50">
        <v>18</v>
      </c>
      <c r="G50">
        <v>55</v>
      </c>
      <c r="H50">
        <v>15</v>
      </c>
      <c r="I50">
        <v>14403434</v>
      </c>
    </row>
    <row r="51" spans="1:9" x14ac:dyDescent="0.25">
      <c r="A51">
        <v>50</v>
      </c>
      <c r="B51" t="s">
        <v>1180</v>
      </c>
      <c r="C51" t="s">
        <v>1181</v>
      </c>
      <c r="D51" t="s">
        <v>1182</v>
      </c>
      <c r="E51" t="s">
        <v>1183</v>
      </c>
      <c r="F51">
        <v>3</v>
      </c>
      <c r="G51">
        <v>39</v>
      </c>
      <c r="H51">
        <v>100</v>
      </c>
      <c r="I51">
        <v>14380569</v>
      </c>
    </row>
    <row r="52" spans="1:9" x14ac:dyDescent="0.25">
      <c r="A52">
        <v>51</v>
      </c>
      <c r="B52" t="s">
        <v>1174</v>
      </c>
      <c r="C52" t="s">
        <v>496</v>
      </c>
      <c r="D52" t="s">
        <v>1175</v>
      </c>
      <c r="E52" t="s">
        <v>1133</v>
      </c>
      <c r="F52">
        <v>1</v>
      </c>
      <c r="G52">
        <v>44</v>
      </c>
      <c r="H52">
        <v>73</v>
      </c>
      <c r="I52">
        <v>14133881</v>
      </c>
    </row>
    <row r="53" spans="1:9" x14ac:dyDescent="0.25">
      <c r="A53">
        <v>52</v>
      </c>
      <c r="B53" t="s">
        <v>1212</v>
      </c>
      <c r="C53" t="s">
        <v>495</v>
      </c>
      <c r="D53" t="s">
        <v>1213</v>
      </c>
      <c r="E53" t="s">
        <v>1214</v>
      </c>
      <c r="F53">
        <v>15</v>
      </c>
      <c r="G53">
        <v>43</v>
      </c>
      <c r="H53">
        <v>165</v>
      </c>
      <c r="I53">
        <v>14122931</v>
      </c>
    </row>
    <row r="54" spans="1:9" x14ac:dyDescent="0.25">
      <c r="A54">
        <v>53</v>
      </c>
      <c r="B54" t="s">
        <v>1219</v>
      </c>
      <c r="C54" t="s">
        <v>1220</v>
      </c>
      <c r="D54" t="s">
        <v>1221</v>
      </c>
      <c r="E54" t="s">
        <v>1222</v>
      </c>
      <c r="F54">
        <v>45</v>
      </c>
      <c r="G54">
        <v>45</v>
      </c>
      <c r="H54">
        <v>92</v>
      </c>
      <c r="I54">
        <v>14022737</v>
      </c>
    </row>
    <row r="55" spans="1:9" x14ac:dyDescent="0.25">
      <c r="A55">
        <v>54</v>
      </c>
      <c r="B55" t="s">
        <v>1184</v>
      </c>
      <c r="C55" t="s">
        <v>1177</v>
      </c>
      <c r="D55" t="s">
        <v>1185</v>
      </c>
      <c r="E55" t="s">
        <v>1179</v>
      </c>
      <c r="F55">
        <v>11</v>
      </c>
      <c r="G55">
        <v>41</v>
      </c>
      <c r="H55">
        <v>16</v>
      </c>
      <c r="I55">
        <v>14008377</v>
      </c>
    </row>
    <row r="56" spans="1:9" x14ac:dyDescent="0.25">
      <c r="A56">
        <v>55</v>
      </c>
      <c r="B56" t="s">
        <v>380</v>
      </c>
      <c r="C56" t="s">
        <v>381</v>
      </c>
      <c r="D56" t="s">
        <v>382</v>
      </c>
      <c r="E56" t="s">
        <v>268</v>
      </c>
      <c r="F56">
        <v>5</v>
      </c>
      <c r="G56">
        <v>47</v>
      </c>
      <c r="H56">
        <v>95</v>
      </c>
      <c r="I56">
        <v>13987472</v>
      </c>
    </row>
    <row r="57" spans="1:9" x14ac:dyDescent="0.25">
      <c r="A57">
        <v>56</v>
      </c>
      <c r="B57" t="s">
        <v>1287</v>
      </c>
      <c r="C57" t="s">
        <v>1288</v>
      </c>
      <c r="D57" t="s">
        <v>1289</v>
      </c>
      <c r="E57" t="s">
        <v>341</v>
      </c>
      <c r="F57">
        <v>55</v>
      </c>
      <c r="G57">
        <v>71</v>
      </c>
      <c r="H57">
        <v>7</v>
      </c>
      <c r="I57">
        <v>13928135</v>
      </c>
    </row>
    <row r="58" spans="1:9" x14ac:dyDescent="0.25">
      <c r="A58">
        <v>57</v>
      </c>
      <c r="B58" t="s">
        <v>1158</v>
      </c>
      <c r="C58" t="s">
        <v>1159</v>
      </c>
      <c r="D58" t="s">
        <v>1160</v>
      </c>
      <c r="E58" t="s">
        <v>1161</v>
      </c>
      <c r="F58">
        <v>1</v>
      </c>
      <c r="G58">
        <v>38</v>
      </c>
      <c r="H58">
        <v>35</v>
      </c>
      <c r="I58">
        <v>13883907</v>
      </c>
    </row>
    <row r="59" spans="1:9" x14ac:dyDescent="0.25">
      <c r="A59">
        <v>58</v>
      </c>
      <c r="B59" t="s">
        <v>1437</v>
      </c>
      <c r="C59" t="s">
        <v>1438</v>
      </c>
      <c r="D59" t="s">
        <v>1439</v>
      </c>
      <c r="E59" t="s">
        <v>1164</v>
      </c>
      <c r="F59">
        <v>58</v>
      </c>
      <c r="G59">
        <v>105</v>
      </c>
      <c r="H59">
        <v>37</v>
      </c>
      <c r="I59">
        <v>13860816</v>
      </c>
    </row>
    <row r="60" spans="1:9" x14ac:dyDescent="0.25">
      <c r="A60">
        <v>59</v>
      </c>
      <c r="B60" t="s">
        <v>1208</v>
      </c>
      <c r="C60" t="s">
        <v>1209</v>
      </c>
      <c r="D60" t="s">
        <v>1210</v>
      </c>
      <c r="E60" t="s">
        <v>1211</v>
      </c>
      <c r="F60">
        <v>36</v>
      </c>
      <c r="G60">
        <v>50</v>
      </c>
      <c r="H60">
        <v>195</v>
      </c>
      <c r="I60">
        <v>13650300</v>
      </c>
    </row>
    <row r="61" spans="1:9" x14ac:dyDescent="0.25">
      <c r="A61">
        <v>60</v>
      </c>
      <c r="B61" t="s">
        <v>1176</v>
      </c>
      <c r="C61" t="s">
        <v>1177</v>
      </c>
      <c r="D61" t="s">
        <v>1178</v>
      </c>
      <c r="E61" t="s">
        <v>1179</v>
      </c>
      <c r="F61">
        <v>20</v>
      </c>
      <c r="G61">
        <v>49</v>
      </c>
      <c r="H61">
        <v>17</v>
      </c>
      <c r="I61">
        <v>13621681</v>
      </c>
    </row>
    <row r="62" spans="1:9" x14ac:dyDescent="0.25">
      <c r="A62">
        <v>61</v>
      </c>
      <c r="B62" t="s">
        <v>1296</v>
      </c>
      <c r="C62" t="s">
        <v>1297</v>
      </c>
      <c r="D62" t="s">
        <v>1298</v>
      </c>
      <c r="E62" t="s">
        <v>1299</v>
      </c>
      <c r="F62">
        <v>61</v>
      </c>
      <c r="G62">
        <v>85</v>
      </c>
      <c r="H62">
        <v>5</v>
      </c>
      <c r="I62">
        <v>13409943</v>
      </c>
    </row>
    <row r="63" spans="1:9" x14ac:dyDescent="0.25">
      <c r="A63">
        <v>62</v>
      </c>
      <c r="B63" t="s">
        <v>1268</v>
      </c>
      <c r="C63" t="s">
        <v>1220</v>
      </c>
      <c r="D63" t="s">
        <v>1269</v>
      </c>
      <c r="E63" t="s">
        <v>1222</v>
      </c>
      <c r="F63">
        <v>56</v>
      </c>
      <c r="G63">
        <v>62</v>
      </c>
      <c r="H63">
        <v>14</v>
      </c>
      <c r="I63">
        <v>13391037</v>
      </c>
    </row>
    <row r="64" spans="1:9" x14ac:dyDescent="0.25">
      <c r="A64">
        <v>63</v>
      </c>
      <c r="B64" t="s">
        <v>1265</v>
      </c>
      <c r="C64" t="s">
        <v>723</v>
      </c>
      <c r="D64" t="s">
        <v>1266</v>
      </c>
      <c r="E64" t="s">
        <v>1267</v>
      </c>
      <c r="F64">
        <v>63</v>
      </c>
      <c r="G64">
        <v>64</v>
      </c>
      <c r="H64">
        <v>23</v>
      </c>
      <c r="I64">
        <v>13383046</v>
      </c>
    </row>
    <row r="65" spans="1:9" x14ac:dyDescent="0.25">
      <c r="A65">
        <v>64</v>
      </c>
      <c r="B65" t="s">
        <v>1169</v>
      </c>
      <c r="C65" t="s">
        <v>1159</v>
      </c>
      <c r="D65" t="s">
        <v>1170</v>
      </c>
      <c r="E65" t="s">
        <v>1161</v>
      </c>
      <c r="F65">
        <v>4</v>
      </c>
      <c r="G65">
        <v>46</v>
      </c>
      <c r="H65">
        <v>35</v>
      </c>
      <c r="I65">
        <v>13334291</v>
      </c>
    </row>
    <row r="66" spans="1:9" x14ac:dyDescent="0.25">
      <c r="A66">
        <v>65</v>
      </c>
      <c r="B66" t="s">
        <v>1189</v>
      </c>
      <c r="C66" t="s">
        <v>1190</v>
      </c>
      <c r="D66" t="s">
        <v>1191</v>
      </c>
      <c r="E66" t="s">
        <v>1192</v>
      </c>
      <c r="F66">
        <v>3</v>
      </c>
      <c r="G66">
        <v>42</v>
      </c>
      <c r="H66">
        <v>46</v>
      </c>
      <c r="I66">
        <v>13189242</v>
      </c>
    </row>
    <row r="67" spans="1:9" x14ac:dyDescent="0.25">
      <c r="A67">
        <v>66</v>
      </c>
      <c r="B67" t="s">
        <v>1230</v>
      </c>
      <c r="C67" t="s">
        <v>1231</v>
      </c>
      <c r="D67" t="s">
        <v>1232</v>
      </c>
      <c r="E67" t="s">
        <v>1233</v>
      </c>
      <c r="F67">
        <v>54</v>
      </c>
      <c r="G67">
        <v>54</v>
      </c>
      <c r="H67">
        <v>9</v>
      </c>
      <c r="I67">
        <v>13164735</v>
      </c>
    </row>
    <row r="68" spans="1:9" x14ac:dyDescent="0.25">
      <c r="A68">
        <v>67</v>
      </c>
      <c r="B68" t="s">
        <v>1137</v>
      </c>
      <c r="C68" t="s">
        <v>1138</v>
      </c>
      <c r="D68" t="s">
        <v>1139</v>
      </c>
      <c r="E68" t="s">
        <v>1140</v>
      </c>
      <c r="F68">
        <v>6</v>
      </c>
      <c r="G68">
        <v>32</v>
      </c>
      <c r="H68">
        <v>7</v>
      </c>
      <c r="I68">
        <v>13016762</v>
      </c>
    </row>
    <row r="69" spans="1:9" x14ac:dyDescent="0.25">
      <c r="A69">
        <v>68</v>
      </c>
      <c r="B69" t="s">
        <v>1281</v>
      </c>
      <c r="C69" t="s">
        <v>1282</v>
      </c>
      <c r="D69" t="s">
        <v>1283</v>
      </c>
      <c r="E69" t="s">
        <v>957</v>
      </c>
      <c r="F69">
        <v>37</v>
      </c>
      <c r="G69">
        <v>68</v>
      </c>
      <c r="H69">
        <v>42</v>
      </c>
      <c r="I69">
        <v>12901229</v>
      </c>
    </row>
    <row r="70" spans="1:9" x14ac:dyDescent="0.25">
      <c r="A70">
        <v>69</v>
      </c>
      <c r="B70" t="s">
        <v>1193</v>
      </c>
      <c r="C70" t="s">
        <v>1194</v>
      </c>
      <c r="D70" t="s">
        <v>1195</v>
      </c>
      <c r="E70" t="s">
        <v>1196</v>
      </c>
      <c r="F70">
        <v>52</v>
      </c>
      <c r="G70">
        <v>52</v>
      </c>
      <c r="H70">
        <v>10</v>
      </c>
      <c r="I70">
        <v>12879197</v>
      </c>
    </row>
    <row r="71" spans="1:9" x14ac:dyDescent="0.25">
      <c r="A71">
        <v>70</v>
      </c>
      <c r="B71" t="s">
        <v>1256</v>
      </c>
      <c r="C71" t="s">
        <v>697</v>
      </c>
      <c r="D71" t="s">
        <v>1257</v>
      </c>
      <c r="E71" t="s">
        <v>1015</v>
      </c>
      <c r="F71">
        <v>1</v>
      </c>
      <c r="G71">
        <v>63</v>
      </c>
      <c r="H71">
        <v>78</v>
      </c>
      <c r="I71">
        <v>12669583</v>
      </c>
    </row>
    <row r="72" spans="1:9" x14ac:dyDescent="0.25">
      <c r="A72">
        <v>71</v>
      </c>
      <c r="B72" t="s">
        <v>1284</v>
      </c>
      <c r="C72" t="s">
        <v>1285</v>
      </c>
      <c r="D72" t="s">
        <v>1286</v>
      </c>
      <c r="E72" t="s">
        <v>1237</v>
      </c>
      <c r="F72">
        <v>28</v>
      </c>
      <c r="G72">
        <v>76</v>
      </c>
      <c r="H72">
        <v>8</v>
      </c>
      <c r="I72">
        <v>12593150</v>
      </c>
    </row>
    <row r="73" spans="1:9" x14ac:dyDescent="0.25">
      <c r="A73">
        <v>72</v>
      </c>
      <c r="B73" t="s">
        <v>4314</v>
      </c>
      <c r="C73" t="s">
        <v>1197</v>
      </c>
      <c r="D73" t="s">
        <v>1198</v>
      </c>
      <c r="E73" t="s">
        <v>1199</v>
      </c>
      <c r="F73">
        <v>45</v>
      </c>
      <c r="G73">
        <v>58</v>
      </c>
      <c r="H73">
        <v>5</v>
      </c>
      <c r="I73">
        <v>12591746</v>
      </c>
    </row>
    <row r="74" spans="1:9" x14ac:dyDescent="0.25">
      <c r="A74">
        <v>73</v>
      </c>
      <c r="B74" t="s">
        <v>1239</v>
      </c>
      <c r="C74" t="s">
        <v>1240</v>
      </c>
      <c r="D74" t="s">
        <v>1241</v>
      </c>
      <c r="E74" t="s">
        <v>1183</v>
      </c>
      <c r="F74">
        <v>3</v>
      </c>
      <c r="G74">
        <v>56</v>
      </c>
      <c r="H74">
        <v>49</v>
      </c>
      <c r="I74">
        <v>12531322</v>
      </c>
    </row>
    <row r="75" spans="1:9" x14ac:dyDescent="0.25">
      <c r="A75">
        <v>74</v>
      </c>
      <c r="B75" t="s">
        <v>1215</v>
      </c>
      <c r="C75" t="s">
        <v>1216</v>
      </c>
      <c r="D75" t="s">
        <v>1217</v>
      </c>
      <c r="E75" t="s">
        <v>1218</v>
      </c>
      <c r="F75">
        <v>2</v>
      </c>
      <c r="G75">
        <v>51</v>
      </c>
      <c r="H75">
        <v>116</v>
      </c>
      <c r="I75">
        <v>12457697</v>
      </c>
    </row>
    <row r="76" spans="1:9" x14ac:dyDescent="0.25">
      <c r="A76">
        <v>75</v>
      </c>
      <c r="B76" t="s">
        <v>1242</v>
      </c>
      <c r="C76" t="s">
        <v>912</v>
      </c>
      <c r="D76" t="s">
        <v>1243</v>
      </c>
      <c r="E76" t="s">
        <v>914</v>
      </c>
      <c r="F76">
        <v>6</v>
      </c>
      <c r="G76">
        <v>61</v>
      </c>
      <c r="H76">
        <v>73</v>
      </c>
      <c r="I76">
        <v>12435120</v>
      </c>
    </row>
    <row r="77" spans="1:9" x14ac:dyDescent="0.25">
      <c r="A77">
        <v>76</v>
      </c>
      <c r="B77" t="s">
        <v>1342</v>
      </c>
      <c r="C77" t="s">
        <v>573</v>
      </c>
      <c r="D77" t="s">
        <v>1343</v>
      </c>
      <c r="E77" t="s">
        <v>573</v>
      </c>
      <c r="F77">
        <v>11</v>
      </c>
      <c r="G77">
        <v>73</v>
      </c>
      <c r="H77">
        <v>77</v>
      </c>
      <c r="I77">
        <v>12418127</v>
      </c>
    </row>
    <row r="78" spans="1:9" x14ac:dyDescent="0.25">
      <c r="A78">
        <v>77</v>
      </c>
      <c r="B78" t="s">
        <v>1234</v>
      </c>
      <c r="C78" t="s">
        <v>1235</v>
      </c>
      <c r="D78" t="s">
        <v>1236</v>
      </c>
      <c r="E78" t="s">
        <v>1237</v>
      </c>
      <c r="F78">
        <v>49</v>
      </c>
      <c r="G78">
        <v>70</v>
      </c>
      <c r="H78">
        <v>11</v>
      </c>
      <c r="I78">
        <v>12171902</v>
      </c>
    </row>
    <row r="79" spans="1:9" x14ac:dyDescent="0.25">
      <c r="A79">
        <v>78</v>
      </c>
      <c r="B79" t="s">
        <v>1165</v>
      </c>
      <c r="C79" t="s">
        <v>1166</v>
      </c>
      <c r="D79" t="s">
        <v>1167</v>
      </c>
      <c r="E79" t="s">
        <v>1168</v>
      </c>
      <c r="F79">
        <v>59</v>
      </c>
      <c r="G79">
        <v>59</v>
      </c>
      <c r="H79">
        <v>5</v>
      </c>
      <c r="I79">
        <v>12118059</v>
      </c>
    </row>
    <row r="80" spans="1:9" x14ac:dyDescent="0.25">
      <c r="A80">
        <v>79</v>
      </c>
      <c r="B80" t="s">
        <v>1204</v>
      </c>
      <c r="C80" t="s">
        <v>1205</v>
      </c>
      <c r="D80" t="s">
        <v>1206</v>
      </c>
      <c r="E80" t="s">
        <v>1207</v>
      </c>
      <c r="F80">
        <v>20</v>
      </c>
      <c r="G80">
        <v>57</v>
      </c>
      <c r="H80">
        <v>118</v>
      </c>
      <c r="I80">
        <v>12088160</v>
      </c>
    </row>
    <row r="81" spans="1:9" x14ac:dyDescent="0.25">
      <c r="A81">
        <v>80</v>
      </c>
      <c r="B81" t="s">
        <v>1228</v>
      </c>
      <c r="C81" t="s">
        <v>912</v>
      </c>
      <c r="D81" t="s">
        <v>1229</v>
      </c>
      <c r="E81" t="s">
        <v>914</v>
      </c>
      <c r="F81">
        <v>24</v>
      </c>
      <c r="G81">
        <v>67</v>
      </c>
      <c r="H81">
        <v>54</v>
      </c>
      <c r="I81">
        <v>11949821</v>
      </c>
    </row>
    <row r="82" spans="1:9" x14ac:dyDescent="0.25">
      <c r="A82">
        <v>81</v>
      </c>
      <c r="B82" t="s">
        <v>1246</v>
      </c>
      <c r="C82" t="s">
        <v>335</v>
      </c>
      <c r="D82" t="s">
        <v>1247</v>
      </c>
      <c r="E82" t="s">
        <v>337</v>
      </c>
      <c r="F82">
        <v>34</v>
      </c>
      <c r="G82">
        <v>66</v>
      </c>
      <c r="H82">
        <v>19</v>
      </c>
      <c r="I82">
        <v>11885952</v>
      </c>
    </row>
    <row r="83" spans="1:9" x14ac:dyDescent="0.25">
      <c r="A83">
        <v>82</v>
      </c>
      <c r="B83" t="s">
        <v>1300</v>
      </c>
      <c r="C83" t="s">
        <v>1301</v>
      </c>
      <c r="D83" t="s">
        <v>1302</v>
      </c>
      <c r="E83" t="s">
        <v>1303</v>
      </c>
      <c r="F83">
        <v>6</v>
      </c>
      <c r="G83">
        <v>80</v>
      </c>
      <c r="H83">
        <v>26</v>
      </c>
      <c r="I83">
        <v>11875743</v>
      </c>
    </row>
    <row r="84" spans="1:9" x14ac:dyDescent="0.25">
      <c r="A84">
        <v>83</v>
      </c>
      <c r="B84" t="s">
        <v>1223</v>
      </c>
      <c r="C84" t="s">
        <v>620</v>
      </c>
      <c r="D84" t="s">
        <v>1224</v>
      </c>
      <c r="E84" t="s">
        <v>1117</v>
      </c>
      <c r="F84">
        <v>17</v>
      </c>
      <c r="G84">
        <v>53</v>
      </c>
      <c r="H84">
        <v>8</v>
      </c>
      <c r="I84">
        <v>11873976</v>
      </c>
    </row>
    <row r="85" spans="1:9" x14ac:dyDescent="0.25">
      <c r="A85">
        <v>84</v>
      </c>
      <c r="B85" t="s">
        <v>1058</v>
      </c>
      <c r="C85" t="s">
        <v>1059</v>
      </c>
      <c r="D85" t="s">
        <v>1060</v>
      </c>
      <c r="E85" t="s">
        <v>1061</v>
      </c>
      <c r="F85">
        <v>36</v>
      </c>
      <c r="G85">
        <v>36</v>
      </c>
      <c r="H85">
        <v>2</v>
      </c>
      <c r="I85">
        <v>11815050</v>
      </c>
    </row>
    <row r="86" spans="1:9" x14ac:dyDescent="0.25">
      <c r="A86">
        <v>85</v>
      </c>
      <c r="B86" t="s">
        <v>1482</v>
      </c>
      <c r="C86" t="s">
        <v>1483</v>
      </c>
      <c r="D86" t="s">
        <v>1484</v>
      </c>
      <c r="E86" t="s">
        <v>1483</v>
      </c>
      <c r="F86">
        <v>3</v>
      </c>
      <c r="G86">
        <v>124</v>
      </c>
      <c r="H86">
        <v>81</v>
      </c>
      <c r="I86">
        <v>11687992</v>
      </c>
    </row>
    <row r="87" spans="1:9" x14ac:dyDescent="0.25">
      <c r="A87">
        <v>86</v>
      </c>
      <c r="B87" t="s">
        <v>328</v>
      </c>
      <c r="C87" t="s">
        <v>329</v>
      </c>
      <c r="D87" t="s">
        <v>330</v>
      </c>
      <c r="E87" t="s">
        <v>268</v>
      </c>
      <c r="F87">
        <v>22</v>
      </c>
      <c r="G87">
        <v>77</v>
      </c>
      <c r="H87">
        <v>107</v>
      </c>
      <c r="I87">
        <v>11584859</v>
      </c>
    </row>
    <row r="88" spans="1:9" x14ac:dyDescent="0.25">
      <c r="A88">
        <v>87</v>
      </c>
      <c r="B88" t="s">
        <v>1292</v>
      </c>
      <c r="C88" t="s">
        <v>503</v>
      </c>
      <c r="D88" t="s">
        <v>1293</v>
      </c>
      <c r="E88" t="s">
        <v>505</v>
      </c>
      <c r="F88">
        <v>46</v>
      </c>
      <c r="G88">
        <v>78</v>
      </c>
      <c r="H88">
        <v>18</v>
      </c>
      <c r="I88">
        <v>11545760</v>
      </c>
    </row>
    <row r="89" spans="1:9" x14ac:dyDescent="0.25">
      <c r="A89">
        <v>88</v>
      </c>
      <c r="B89" t="s">
        <v>1258</v>
      </c>
      <c r="C89" t="s">
        <v>1259</v>
      </c>
      <c r="D89" t="s">
        <v>1260</v>
      </c>
      <c r="E89" t="s">
        <v>303</v>
      </c>
      <c r="F89">
        <v>1</v>
      </c>
      <c r="G89">
        <v>69</v>
      </c>
      <c r="H89">
        <v>112</v>
      </c>
      <c r="I89">
        <v>11533797</v>
      </c>
    </row>
    <row r="90" spans="1:9" x14ac:dyDescent="0.25">
      <c r="A90">
        <v>89</v>
      </c>
      <c r="B90" t="s">
        <v>3833</v>
      </c>
      <c r="C90" t="s">
        <v>573</v>
      </c>
      <c r="D90" t="s">
        <v>3834</v>
      </c>
      <c r="E90" t="s">
        <v>573</v>
      </c>
      <c r="F90">
        <v>1</v>
      </c>
      <c r="G90">
        <v>148</v>
      </c>
      <c r="H90">
        <v>71</v>
      </c>
      <c r="I90">
        <v>11512726</v>
      </c>
    </row>
    <row r="91" spans="1:9" x14ac:dyDescent="0.25">
      <c r="A91">
        <v>90</v>
      </c>
      <c r="B91" t="s">
        <v>1248</v>
      </c>
      <c r="C91" t="s">
        <v>1249</v>
      </c>
      <c r="D91" t="s">
        <v>1250</v>
      </c>
      <c r="E91" t="s">
        <v>1251</v>
      </c>
      <c r="F91">
        <v>22</v>
      </c>
      <c r="G91">
        <v>65</v>
      </c>
      <c r="H91">
        <v>26</v>
      </c>
      <c r="I91">
        <v>11472700</v>
      </c>
    </row>
    <row r="92" spans="1:9" x14ac:dyDescent="0.25">
      <c r="A92">
        <v>91</v>
      </c>
      <c r="B92" t="s">
        <v>1339</v>
      </c>
      <c r="C92" t="s">
        <v>511</v>
      </c>
      <c r="D92" t="s">
        <v>1340</v>
      </c>
      <c r="E92" t="s">
        <v>1341</v>
      </c>
      <c r="F92">
        <v>71</v>
      </c>
      <c r="G92">
        <v>83</v>
      </c>
      <c r="H92">
        <v>72</v>
      </c>
      <c r="I92">
        <v>11374145</v>
      </c>
    </row>
    <row r="93" spans="1:9" x14ac:dyDescent="0.25">
      <c r="A93">
        <v>92</v>
      </c>
      <c r="B93" t="s">
        <v>1451</v>
      </c>
      <c r="C93" t="s">
        <v>1452</v>
      </c>
      <c r="D93" t="s">
        <v>1453</v>
      </c>
      <c r="E93" t="s">
        <v>341</v>
      </c>
      <c r="F93">
        <v>16</v>
      </c>
      <c r="G93">
        <v>125</v>
      </c>
      <c r="H93">
        <v>132</v>
      </c>
      <c r="I93">
        <v>11213691</v>
      </c>
    </row>
    <row r="94" spans="1:9" x14ac:dyDescent="0.25">
      <c r="A94">
        <v>93</v>
      </c>
      <c r="B94" t="s">
        <v>1347</v>
      </c>
      <c r="C94" t="s">
        <v>573</v>
      </c>
      <c r="D94" t="s">
        <v>1348</v>
      </c>
      <c r="E94" t="s">
        <v>573</v>
      </c>
      <c r="F94">
        <v>2</v>
      </c>
      <c r="G94">
        <v>86</v>
      </c>
      <c r="H94">
        <v>135</v>
      </c>
      <c r="I94">
        <v>11206528</v>
      </c>
    </row>
    <row r="95" spans="1:9" x14ac:dyDescent="0.25">
      <c r="A95">
        <v>94</v>
      </c>
      <c r="B95" t="s">
        <v>1274</v>
      </c>
      <c r="C95" t="s">
        <v>1216</v>
      </c>
      <c r="D95" t="s">
        <v>1275</v>
      </c>
      <c r="E95" t="s">
        <v>1276</v>
      </c>
      <c r="F95">
        <v>2</v>
      </c>
      <c r="G95">
        <v>72</v>
      </c>
      <c r="H95">
        <v>41</v>
      </c>
      <c r="I95">
        <v>11172702</v>
      </c>
    </row>
    <row r="96" spans="1:9" x14ac:dyDescent="0.25">
      <c r="A96">
        <v>95</v>
      </c>
      <c r="B96" t="s">
        <v>1332</v>
      </c>
      <c r="C96" t="s">
        <v>495</v>
      </c>
      <c r="D96">
        <v>505</v>
      </c>
      <c r="E96" t="s">
        <v>1214</v>
      </c>
      <c r="F96">
        <v>43</v>
      </c>
      <c r="G96">
        <v>82</v>
      </c>
      <c r="H96">
        <v>191</v>
      </c>
      <c r="I96">
        <v>11162202</v>
      </c>
    </row>
    <row r="97" spans="1:9" x14ac:dyDescent="0.25">
      <c r="A97">
        <v>96</v>
      </c>
      <c r="B97" t="s">
        <v>1312</v>
      </c>
      <c r="C97" t="s">
        <v>1201</v>
      </c>
      <c r="D97" t="s">
        <v>1313</v>
      </c>
      <c r="E97" t="s">
        <v>1203</v>
      </c>
      <c r="F97">
        <v>78</v>
      </c>
      <c r="G97">
        <v>97</v>
      </c>
      <c r="H97">
        <v>10</v>
      </c>
      <c r="I97">
        <v>11040945</v>
      </c>
    </row>
    <row r="98" spans="1:9" x14ac:dyDescent="0.25">
      <c r="A98">
        <v>97</v>
      </c>
      <c r="B98" t="s">
        <v>1244</v>
      </c>
      <c r="C98" t="s">
        <v>1159</v>
      </c>
      <c r="D98" t="s">
        <v>1245</v>
      </c>
      <c r="E98" t="s">
        <v>1161</v>
      </c>
      <c r="F98">
        <v>5</v>
      </c>
      <c r="G98">
        <v>75</v>
      </c>
      <c r="H98">
        <v>35</v>
      </c>
      <c r="I98">
        <v>10985246</v>
      </c>
    </row>
    <row r="99" spans="1:9" x14ac:dyDescent="0.25">
      <c r="A99">
        <v>98</v>
      </c>
      <c r="B99" t="s">
        <v>1294</v>
      </c>
      <c r="C99" t="s">
        <v>511</v>
      </c>
      <c r="D99" t="s">
        <v>1295</v>
      </c>
      <c r="E99" t="s">
        <v>1164</v>
      </c>
      <c r="F99">
        <v>31</v>
      </c>
      <c r="G99">
        <v>88</v>
      </c>
      <c r="H99">
        <v>158</v>
      </c>
      <c r="I99">
        <v>10922496</v>
      </c>
    </row>
    <row r="100" spans="1:9" x14ac:dyDescent="0.25">
      <c r="A100">
        <v>99</v>
      </c>
      <c r="B100" t="s">
        <v>1252</v>
      </c>
      <c r="C100" t="s">
        <v>1253</v>
      </c>
      <c r="D100" t="s">
        <v>1254</v>
      </c>
      <c r="E100" t="s">
        <v>1255</v>
      </c>
      <c r="F100">
        <v>7</v>
      </c>
      <c r="G100">
        <v>74</v>
      </c>
      <c r="H100">
        <v>39</v>
      </c>
      <c r="I100">
        <v>10918033</v>
      </c>
    </row>
    <row r="101" spans="1:9" x14ac:dyDescent="0.25">
      <c r="A101">
        <v>100</v>
      </c>
      <c r="B101" t="s">
        <v>1384</v>
      </c>
      <c r="C101" t="s">
        <v>107</v>
      </c>
      <c r="D101" t="s">
        <v>1385</v>
      </c>
      <c r="E101" t="s">
        <v>109</v>
      </c>
      <c r="F101">
        <v>12</v>
      </c>
      <c r="G101">
        <v>98</v>
      </c>
      <c r="H101">
        <v>7</v>
      </c>
      <c r="I101">
        <v>10879558</v>
      </c>
    </row>
    <row r="102" spans="1:9" x14ac:dyDescent="0.25">
      <c r="A102">
        <v>101</v>
      </c>
      <c r="B102" t="s">
        <v>1304</v>
      </c>
      <c r="C102" t="s">
        <v>1305</v>
      </c>
      <c r="D102" t="s">
        <v>1306</v>
      </c>
      <c r="E102" t="s">
        <v>1307</v>
      </c>
      <c r="F102">
        <v>1</v>
      </c>
      <c r="G102">
        <v>87</v>
      </c>
      <c r="H102">
        <v>257</v>
      </c>
      <c r="I102">
        <v>10864264</v>
      </c>
    </row>
    <row r="103" spans="1:9" x14ac:dyDescent="0.25">
      <c r="A103">
        <v>102</v>
      </c>
      <c r="B103" t="s">
        <v>1352</v>
      </c>
      <c r="C103" t="s">
        <v>1353</v>
      </c>
      <c r="D103" t="s">
        <v>1354</v>
      </c>
      <c r="E103" t="s">
        <v>109</v>
      </c>
      <c r="F103">
        <v>30</v>
      </c>
      <c r="G103">
        <v>96</v>
      </c>
      <c r="H103">
        <v>238</v>
      </c>
      <c r="I103">
        <v>10818405</v>
      </c>
    </row>
    <row r="104" spans="1:9" x14ac:dyDescent="0.25">
      <c r="A104">
        <v>103</v>
      </c>
      <c r="B104" t="s">
        <v>1261</v>
      </c>
      <c r="C104" t="s">
        <v>1262</v>
      </c>
      <c r="D104" t="s">
        <v>1263</v>
      </c>
      <c r="E104" t="s">
        <v>1264</v>
      </c>
      <c r="F104">
        <v>36</v>
      </c>
      <c r="G104">
        <v>79</v>
      </c>
      <c r="H104">
        <v>37</v>
      </c>
      <c r="I104">
        <v>10738063</v>
      </c>
    </row>
    <row r="105" spans="1:9" x14ac:dyDescent="0.25">
      <c r="A105">
        <v>104</v>
      </c>
      <c r="B105" t="s">
        <v>9</v>
      </c>
      <c r="C105" t="s">
        <v>10</v>
      </c>
      <c r="D105" t="s">
        <v>11</v>
      </c>
      <c r="E105" t="s">
        <v>12</v>
      </c>
      <c r="F105">
        <v>84</v>
      </c>
      <c r="G105">
        <v>84</v>
      </c>
      <c r="H105">
        <v>11</v>
      </c>
      <c r="I105">
        <v>10717200</v>
      </c>
    </row>
    <row r="106" spans="1:9" x14ac:dyDescent="0.25">
      <c r="A106">
        <v>105</v>
      </c>
      <c r="B106" t="s">
        <v>1361</v>
      </c>
      <c r="C106" t="s">
        <v>1362</v>
      </c>
      <c r="D106" t="s">
        <v>1363</v>
      </c>
      <c r="E106" t="s">
        <v>1364</v>
      </c>
      <c r="F106">
        <v>62</v>
      </c>
      <c r="G106">
        <v>92</v>
      </c>
      <c r="H106">
        <v>164</v>
      </c>
      <c r="I106">
        <v>10698297</v>
      </c>
    </row>
    <row r="107" spans="1:9" x14ac:dyDescent="0.25">
      <c r="A107">
        <v>106</v>
      </c>
      <c r="B107" t="s">
        <v>1422</v>
      </c>
      <c r="C107" t="s">
        <v>1423</v>
      </c>
      <c r="D107" t="s">
        <v>1424</v>
      </c>
      <c r="E107" t="s">
        <v>1425</v>
      </c>
      <c r="F107">
        <v>95</v>
      </c>
      <c r="G107">
        <v>123</v>
      </c>
      <c r="H107">
        <v>19</v>
      </c>
      <c r="I107">
        <v>10641576</v>
      </c>
    </row>
    <row r="108" spans="1:9" x14ac:dyDescent="0.25">
      <c r="A108">
        <v>107</v>
      </c>
      <c r="B108" t="s">
        <v>1290</v>
      </c>
      <c r="C108" t="s">
        <v>1194</v>
      </c>
      <c r="D108" t="s">
        <v>1291</v>
      </c>
      <c r="E108" t="s">
        <v>1196</v>
      </c>
      <c r="F108">
        <v>90</v>
      </c>
      <c r="G108">
        <v>90</v>
      </c>
      <c r="H108">
        <v>10</v>
      </c>
      <c r="I108">
        <v>10564102</v>
      </c>
    </row>
    <row r="109" spans="1:9" x14ac:dyDescent="0.25">
      <c r="A109">
        <v>108</v>
      </c>
      <c r="B109" t="s">
        <v>1333</v>
      </c>
      <c r="C109" t="s">
        <v>1334</v>
      </c>
      <c r="D109" t="s">
        <v>1335</v>
      </c>
      <c r="E109" t="s">
        <v>1336</v>
      </c>
      <c r="F109">
        <v>15</v>
      </c>
      <c r="G109">
        <v>99</v>
      </c>
      <c r="H109">
        <v>230</v>
      </c>
      <c r="I109">
        <v>10527066</v>
      </c>
    </row>
    <row r="110" spans="1:9" x14ac:dyDescent="0.25">
      <c r="A110">
        <v>109</v>
      </c>
      <c r="B110" t="s">
        <v>1330</v>
      </c>
      <c r="C110" t="s">
        <v>628</v>
      </c>
      <c r="D110" t="s">
        <v>1331</v>
      </c>
      <c r="E110" t="s">
        <v>1015</v>
      </c>
      <c r="F110">
        <v>1</v>
      </c>
      <c r="G110">
        <v>102</v>
      </c>
      <c r="H110">
        <v>301</v>
      </c>
      <c r="I110">
        <v>10458122</v>
      </c>
    </row>
    <row r="111" spans="1:9" x14ac:dyDescent="0.25">
      <c r="A111">
        <v>110</v>
      </c>
      <c r="B111" t="s">
        <v>1355</v>
      </c>
      <c r="C111" t="s">
        <v>863</v>
      </c>
      <c r="D111" t="s">
        <v>1356</v>
      </c>
      <c r="E111" t="s">
        <v>1329</v>
      </c>
      <c r="F111">
        <v>4</v>
      </c>
      <c r="G111">
        <v>100</v>
      </c>
      <c r="H111">
        <v>411</v>
      </c>
      <c r="I111">
        <v>10404750</v>
      </c>
    </row>
    <row r="112" spans="1:9" x14ac:dyDescent="0.25">
      <c r="A112">
        <v>111</v>
      </c>
      <c r="B112" t="s">
        <v>1468</v>
      </c>
      <c r="C112" t="s">
        <v>1469</v>
      </c>
      <c r="D112" t="s">
        <v>1470</v>
      </c>
      <c r="E112" t="s">
        <v>1203</v>
      </c>
      <c r="F112">
        <v>55</v>
      </c>
      <c r="G112">
        <v>149</v>
      </c>
      <c r="H112">
        <v>35</v>
      </c>
      <c r="I112">
        <v>10400140</v>
      </c>
    </row>
    <row r="113" spans="1:9" x14ac:dyDescent="0.25">
      <c r="A113">
        <v>112</v>
      </c>
      <c r="B113" t="s">
        <v>1327</v>
      </c>
      <c r="C113" t="s">
        <v>863</v>
      </c>
      <c r="D113" t="s">
        <v>1328</v>
      </c>
      <c r="E113" t="s">
        <v>1329</v>
      </c>
      <c r="F113">
        <v>1</v>
      </c>
      <c r="G113">
        <v>93</v>
      </c>
      <c r="H113">
        <v>378</v>
      </c>
      <c r="I113">
        <v>10152082</v>
      </c>
    </row>
    <row r="114" spans="1:9" x14ac:dyDescent="0.25">
      <c r="A114">
        <v>113</v>
      </c>
      <c r="B114" t="s">
        <v>1314</v>
      </c>
      <c r="C114" t="s">
        <v>1159</v>
      </c>
      <c r="D114" t="s">
        <v>1315</v>
      </c>
      <c r="E114" t="s">
        <v>1161</v>
      </c>
      <c r="F114">
        <v>9</v>
      </c>
      <c r="G114">
        <v>101</v>
      </c>
      <c r="H114">
        <v>35</v>
      </c>
      <c r="I114">
        <v>10122929</v>
      </c>
    </row>
    <row r="115" spans="1:9" x14ac:dyDescent="0.25">
      <c r="A115">
        <v>114</v>
      </c>
      <c r="B115" t="s">
        <v>1308</v>
      </c>
      <c r="C115" t="s">
        <v>1309</v>
      </c>
      <c r="D115" t="s">
        <v>1310</v>
      </c>
      <c r="E115" t="s">
        <v>1311</v>
      </c>
      <c r="F115">
        <v>24</v>
      </c>
      <c r="G115">
        <v>91</v>
      </c>
      <c r="H115">
        <v>14</v>
      </c>
      <c r="I115">
        <v>10098758</v>
      </c>
    </row>
    <row r="116" spans="1:9" x14ac:dyDescent="0.25">
      <c r="A116">
        <v>115</v>
      </c>
      <c r="B116" t="s">
        <v>1349</v>
      </c>
      <c r="C116" t="s">
        <v>1350</v>
      </c>
      <c r="D116" t="s">
        <v>1351</v>
      </c>
      <c r="E116" t="s">
        <v>376</v>
      </c>
      <c r="F116">
        <v>91</v>
      </c>
      <c r="G116">
        <v>112</v>
      </c>
      <c r="H116">
        <v>15</v>
      </c>
      <c r="I116">
        <v>10096319</v>
      </c>
    </row>
    <row r="117" spans="1:9" x14ac:dyDescent="0.25">
      <c r="A117">
        <v>116</v>
      </c>
      <c r="B117" t="s">
        <v>1401</v>
      </c>
      <c r="C117" t="s">
        <v>1402</v>
      </c>
      <c r="D117" t="s">
        <v>1403</v>
      </c>
      <c r="E117" t="s">
        <v>1404</v>
      </c>
      <c r="F117">
        <v>103</v>
      </c>
      <c r="G117">
        <v>109</v>
      </c>
      <c r="H117">
        <v>5</v>
      </c>
      <c r="I117">
        <v>10029011</v>
      </c>
    </row>
    <row r="118" spans="1:9" x14ac:dyDescent="0.25">
      <c r="A118">
        <v>117</v>
      </c>
      <c r="B118" t="s">
        <v>4216</v>
      </c>
      <c r="C118" t="s">
        <v>1942</v>
      </c>
      <c r="D118" t="s">
        <v>4217</v>
      </c>
      <c r="E118" t="s">
        <v>1943</v>
      </c>
      <c r="F118">
        <v>117</v>
      </c>
      <c r="G118">
        <v>-1</v>
      </c>
      <c r="H118">
        <v>1</v>
      </c>
      <c r="I118">
        <v>10012872</v>
      </c>
    </row>
    <row r="119" spans="1:9" x14ac:dyDescent="0.25">
      <c r="A119">
        <v>118</v>
      </c>
      <c r="B119" t="s">
        <v>1394</v>
      </c>
      <c r="C119" t="s">
        <v>1395</v>
      </c>
      <c r="D119" t="s">
        <v>1396</v>
      </c>
      <c r="E119" t="s">
        <v>1255</v>
      </c>
      <c r="F119">
        <v>80</v>
      </c>
      <c r="G119">
        <v>104</v>
      </c>
      <c r="H119">
        <v>145</v>
      </c>
      <c r="I119">
        <v>9967999</v>
      </c>
    </row>
    <row r="120" spans="1:9" x14ac:dyDescent="0.25">
      <c r="A120">
        <v>119</v>
      </c>
      <c r="B120" t="s">
        <v>1405</v>
      </c>
      <c r="C120" t="s">
        <v>635</v>
      </c>
      <c r="D120" t="s">
        <v>1406</v>
      </c>
      <c r="E120" t="s">
        <v>1407</v>
      </c>
      <c r="F120">
        <v>34</v>
      </c>
      <c r="G120">
        <v>111</v>
      </c>
      <c r="H120">
        <v>137</v>
      </c>
      <c r="I120">
        <v>9781048</v>
      </c>
    </row>
    <row r="121" spans="1:9" x14ac:dyDescent="0.25">
      <c r="A121">
        <v>120</v>
      </c>
      <c r="B121" t="s">
        <v>1446</v>
      </c>
      <c r="C121" t="s">
        <v>1447</v>
      </c>
      <c r="D121" t="s">
        <v>1448</v>
      </c>
      <c r="E121" t="s">
        <v>1124</v>
      </c>
      <c r="F121">
        <v>62</v>
      </c>
      <c r="G121">
        <v>116</v>
      </c>
      <c r="H121">
        <v>12</v>
      </c>
      <c r="I121">
        <v>9744268</v>
      </c>
    </row>
    <row r="122" spans="1:9" x14ac:dyDescent="0.25">
      <c r="A122">
        <v>121</v>
      </c>
      <c r="B122" t="s">
        <v>1376</v>
      </c>
      <c r="C122" t="s">
        <v>1377</v>
      </c>
      <c r="D122" t="s">
        <v>1378</v>
      </c>
      <c r="E122" t="s">
        <v>1379</v>
      </c>
      <c r="F122">
        <v>1</v>
      </c>
      <c r="G122">
        <v>106</v>
      </c>
      <c r="H122">
        <v>97</v>
      </c>
      <c r="I122">
        <v>9715302</v>
      </c>
    </row>
    <row r="123" spans="1:9" x14ac:dyDescent="0.25">
      <c r="A123">
        <v>122</v>
      </c>
      <c r="B123" t="s">
        <v>1365</v>
      </c>
      <c r="C123" t="s">
        <v>1366</v>
      </c>
      <c r="D123" t="s">
        <v>1367</v>
      </c>
      <c r="E123" t="s">
        <v>1368</v>
      </c>
      <c r="F123">
        <v>30</v>
      </c>
      <c r="G123">
        <v>108</v>
      </c>
      <c r="H123">
        <v>22</v>
      </c>
      <c r="I123">
        <v>9691131</v>
      </c>
    </row>
    <row r="124" spans="1:9" x14ac:dyDescent="0.25">
      <c r="A124">
        <v>123</v>
      </c>
      <c r="B124" t="s">
        <v>1495</v>
      </c>
      <c r="C124" t="s">
        <v>1377</v>
      </c>
      <c r="D124" t="s">
        <v>1496</v>
      </c>
      <c r="E124" t="s">
        <v>1379</v>
      </c>
      <c r="F124">
        <v>16</v>
      </c>
      <c r="G124">
        <v>140</v>
      </c>
      <c r="H124">
        <v>32</v>
      </c>
      <c r="I124">
        <v>9686998</v>
      </c>
    </row>
    <row r="125" spans="1:9" x14ac:dyDescent="0.25">
      <c r="A125">
        <v>124</v>
      </c>
      <c r="B125" t="s">
        <v>1344</v>
      </c>
      <c r="C125" t="s">
        <v>1345</v>
      </c>
      <c r="D125" t="s">
        <v>526</v>
      </c>
      <c r="E125" t="s">
        <v>1346</v>
      </c>
      <c r="F125">
        <v>25</v>
      </c>
      <c r="G125">
        <v>122</v>
      </c>
      <c r="H125">
        <v>29</v>
      </c>
      <c r="I125">
        <v>9667823</v>
      </c>
    </row>
    <row r="126" spans="1:9" x14ac:dyDescent="0.25">
      <c r="A126">
        <v>125</v>
      </c>
      <c r="B126" t="s">
        <v>1397</v>
      </c>
      <c r="C126" t="s">
        <v>1398</v>
      </c>
      <c r="D126" t="s">
        <v>1399</v>
      </c>
      <c r="E126" t="s">
        <v>1400</v>
      </c>
      <c r="F126">
        <v>63</v>
      </c>
      <c r="G126">
        <v>115</v>
      </c>
      <c r="H126">
        <v>116</v>
      </c>
      <c r="I126">
        <v>9642742</v>
      </c>
    </row>
    <row r="127" spans="1:9" x14ac:dyDescent="0.25">
      <c r="A127">
        <v>126</v>
      </c>
      <c r="B127" t="s">
        <v>1444</v>
      </c>
      <c r="C127" t="s">
        <v>496</v>
      </c>
      <c r="D127" t="s">
        <v>1445</v>
      </c>
      <c r="E127" t="s">
        <v>1133</v>
      </c>
      <c r="F127">
        <v>3</v>
      </c>
      <c r="G127">
        <v>130</v>
      </c>
      <c r="H127">
        <v>54</v>
      </c>
      <c r="I127">
        <v>9521008</v>
      </c>
    </row>
    <row r="128" spans="1:9" x14ac:dyDescent="0.25">
      <c r="A128">
        <v>127</v>
      </c>
      <c r="B128" t="s">
        <v>1323</v>
      </c>
      <c r="C128" t="s">
        <v>1324</v>
      </c>
      <c r="D128" t="s">
        <v>1325</v>
      </c>
      <c r="E128" t="s">
        <v>1326</v>
      </c>
      <c r="F128">
        <v>5</v>
      </c>
      <c r="G128">
        <v>107</v>
      </c>
      <c r="H128">
        <v>63</v>
      </c>
      <c r="I128">
        <v>9491528</v>
      </c>
    </row>
    <row r="129" spans="1:9" x14ac:dyDescent="0.25">
      <c r="A129">
        <v>128</v>
      </c>
      <c r="B129" t="s">
        <v>1531</v>
      </c>
      <c r="C129" t="s">
        <v>1532</v>
      </c>
      <c r="D129" t="s">
        <v>1533</v>
      </c>
      <c r="E129" t="s">
        <v>1534</v>
      </c>
      <c r="F129">
        <v>5</v>
      </c>
      <c r="G129">
        <v>143</v>
      </c>
      <c r="H129">
        <v>66</v>
      </c>
      <c r="I129">
        <v>9462219</v>
      </c>
    </row>
    <row r="130" spans="1:9" x14ac:dyDescent="0.25">
      <c r="A130">
        <v>129</v>
      </c>
      <c r="B130" t="s">
        <v>1485</v>
      </c>
      <c r="C130" t="s">
        <v>496</v>
      </c>
      <c r="D130" t="s">
        <v>1486</v>
      </c>
      <c r="E130" t="s">
        <v>1133</v>
      </c>
      <c r="F130">
        <v>1</v>
      </c>
      <c r="G130">
        <v>155</v>
      </c>
      <c r="H130">
        <v>65</v>
      </c>
      <c r="I130">
        <v>9397738</v>
      </c>
    </row>
    <row r="131" spans="1:9" x14ac:dyDescent="0.25">
      <c r="A131">
        <v>130</v>
      </c>
      <c r="B131" t="s">
        <v>1412</v>
      </c>
      <c r="C131" t="s">
        <v>1413</v>
      </c>
      <c r="D131" t="s">
        <v>1414</v>
      </c>
      <c r="E131" t="s">
        <v>1415</v>
      </c>
      <c r="F131">
        <v>120</v>
      </c>
      <c r="G131">
        <v>120</v>
      </c>
      <c r="H131">
        <v>4</v>
      </c>
      <c r="I131">
        <v>9374889</v>
      </c>
    </row>
    <row r="132" spans="1:9" x14ac:dyDescent="0.25">
      <c r="A132">
        <v>131</v>
      </c>
      <c r="B132" t="s">
        <v>1478</v>
      </c>
      <c r="C132" t="s">
        <v>329</v>
      </c>
      <c r="D132" t="s">
        <v>1479</v>
      </c>
      <c r="E132" t="s">
        <v>268</v>
      </c>
      <c r="F132">
        <v>24</v>
      </c>
      <c r="G132">
        <v>119</v>
      </c>
      <c r="H132">
        <v>79</v>
      </c>
      <c r="I132">
        <v>9361878</v>
      </c>
    </row>
    <row r="133" spans="1:9" x14ac:dyDescent="0.25">
      <c r="A133">
        <v>132</v>
      </c>
      <c r="B133" t="s">
        <v>1543</v>
      </c>
      <c r="C133" t="s">
        <v>1544</v>
      </c>
      <c r="D133" t="s">
        <v>1545</v>
      </c>
      <c r="E133" t="s">
        <v>1544</v>
      </c>
      <c r="F133">
        <v>131</v>
      </c>
      <c r="G133">
        <v>156</v>
      </c>
      <c r="H133">
        <v>10</v>
      </c>
      <c r="I133">
        <v>9358560</v>
      </c>
    </row>
    <row r="134" spans="1:9" x14ac:dyDescent="0.25">
      <c r="A134">
        <v>133</v>
      </c>
      <c r="B134" t="s">
        <v>4315</v>
      </c>
      <c r="C134" t="s">
        <v>4316</v>
      </c>
      <c r="D134" t="s">
        <v>4317</v>
      </c>
      <c r="E134" t="s">
        <v>1124</v>
      </c>
      <c r="F134">
        <v>133</v>
      </c>
      <c r="G134">
        <v>-1</v>
      </c>
      <c r="H134">
        <v>1</v>
      </c>
      <c r="I134">
        <v>9340411</v>
      </c>
    </row>
    <row r="135" spans="1:9" x14ac:dyDescent="0.25">
      <c r="A135">
        <v>134</v>
      </c>
      <c r="B135" t="s">
        <v>1316</v>
      </c>
      <c r="C135" t="s">
        <v>863</v>
      </c>
      <c r="D135" t="s">
        <v>1317</v>
      </c>
      <c r="E135" t="s">
        <v>1318</v>
      </c>
      <c r="F135">
        <v>19</v>
      </c>
      <c r="G135">
        <v>94</v>
      </c>
      <c r="H135">
        <v>13</v>
      </c>
      <c r="I135">
        <v>9339379</v>
      </c>
    </row>
    <row r="136" spans="1:9" x14ac:dyDescent="0.25">
      <c r="A136">
        <v>135</v>
      </c>
      <c r="B136" t="s">
        <v>1426</v>
      </c>
      <c r="C136" t="s">
        <v>1427</v>
      </c>
      <c r="D136" t="s">
        <v>1428</v>
      </c>
      <c r="E136" t="s">
        <v>1429</v>
      </c>
      <c r="F136">
        <v>2</v>
      </c>
      <c r="G136">
        <v>114</v>
      </c>
      <c r="H136">
        <v>275</v>
      </c>
      <c r="I136">
        <v>9264965</v>
      </c>
    </row>
    <row r="137" spans="1:9" x14ac:dyDescent="0.25">
      <c r="A137">
        <v>136</v>
      </c>
      <c r="B137" t="s">
        <v>1277</v>
      </c>
      <c r="C137" t="s">
        <v>1278</v>
      </c>
      <c r="D137" t="s">
        <v>1279</v>
      </c>
      <c r="E137" t="s">
        <v>1280</v>
      </c>
      <c r="F137">
        <v>15</v>
      </c>
      <c r="G137">
        <v>89</v>
      </c>
      <c r="H137">
        <v>30</v>
      </c>
      <c r="I137">
        <v>9225952</v>
      </c>
    </row>
    <row r="138" spans="1:9" x14ac:dyDescent="0.25">
      <c r="A138">
        <v>137</v>
      </c>
      <c r="B138" t="s">
        <v>1552</v>
      </c>
      <c r="C138" t="s">
        <v>635</v>
      </c>
      <c r="D138" t="s">
        <v>1553</v>
      </c>
      <c r="E138" t="s">
        <v>109</v>
      </c>
      <c r="F138">
        <v>38</v>
      </c>
      <c r="G138">
        <v>136</v>
      </c>
      <c r="H138">
        <v>141</v>
      </c>
      <c r="I138">
        <v>9178062</v>
      </c>
    </row>
    <row r="139" spans="1:9" x14ac:dyDescent="0.25">
      <c r="A139">
        <v>138</v>
      </c>
      <c r="B139" t="s">
        <v>139</v>
      </c>
      <c r="C139" t="s">
        <v>140</v>
      </c>
      <c r="D139" t="s">
        <v>141</v>
      </c>
      <c r="E139" t="s">
        <v>142</v>
      </c>
      <c r="F139">
        <v>133</v>
      </c>
      <c r="G139">
        <v>133</v>
      </c>
      <c r="H139">
        <v>3</v>
      </c>
      <c r="I139">
        <v>9125305</v>
      </c>
    </row>
    <row r="140" spans="1:9" x14ac:dyDescent="0.25">
      <c r="A140">
        <v>139</v>
      </c>
      <c r="B140" t="s">
        <v>1964</v>
      </c>
      <c r="C140" t="s">
        <v>1965</v>
      </c>
      <c r="D140" t="s">
        <v>1966</v>
      </c>
      <c r="E140" t="s">
        <v>341</v>
      </c>
      <c r="F140">
        <v>32</v>
      </c>
      <c r="G140">
        <v>170</v>
      </c>
      <c r="H140">
        <v>23</v>
      </c>
      <c r="I140">
        <v>9079151</v>
      </c>
    </row>
    <row r="141" spans="1:9" x14ac:dyDescent="0.25">
      <c r="A141">
        <v>140</v>
      </c>
      <c r="B141" t="s">
        <v>1357</v>
      </c>
      <c r="C141" t="s">
        <v>1358</v>
      </c>
      <c r="D141" t="s">
        <v>1359</v>
      </c>
      <c r="E141" t="s">
        <v>1360</v>
      </c>
      <c r="F141">
        <v>19</v>
      </c>
      <c r="G141">
        <v>110</v>
      </c>
      <c r="H141">
        <v>16</v>
      </c>
      <c r="I141">
        <v>8997275</v>
      </c>
    </row>
    <row r="142" spans="1:9" x14ac:dyDescent="0.25">
      <c r="A142">
        <v>141</v>
      </c>
      <c r="B142" t="s">
        <v>1238</v>
      </c>
      <c r="C142" t="s">
        <v>1063</v>
      </c>
      <c r="D142" t="s">
        <v>1064</v>
      </c>
      <c r="E142" t="s">
        <v>1065</v>
      </c>
      <c r="F142">
        <v>60</v>
      </c>
      <c r="G142">
        <v>60</v>
      </c>
      <c r="H142">
        <v>2</v>
      </c>
      <c r="I142">
        <v>8993800</v>
      </c>
    </row>
    <row r="143" spans="1:9" x14ac:dyDescent="0.25">
      <c r="A143">
        <v>142</v>
      </c>
      <c r="B143" t="s">
        <v>222</v>
      </c>
      <c r="C143" t="s">
        <v>3915</v>
      </c>
      <c r="D143" t="s">
        <v>223</v>
      </c>
      <c r="E143" t="s">
        <v>224</v>
      </c>
      <c r="F143">
        <v>90</v>
      </c>
      <c r="G143">
        <v>95</v>
      </c>
      <c r="H143">
        <v>11</v>
      </c>
      <c r="I143">
        <v>8977878</v>
      </c>
    </row>
    <row r="144" spans="1:9" x14ac:dyDescent="0.25">
      <c r="A144">
        <v>143</v>
      </c>
      <c r="B144" t="s">
        <v>1464</v>
      </c>
      <c r="C144" t="s">
        <v>1465</v>
      </c>
      <c r="D144" t="s">
        <v>1466</v>
      </c>
      <c r="E144" t="s">
        <v>1467</v>
      </c>
      <c r="F144">
        <v>137</v>
      </c>
      <c r="G144">
        <v>144</v>
      </c>
      <c r="H144">
        <v>4</v>
      </c>
      <c r="I144">
        <v>8966447</v>
      </c>
    </row>
    <row r="145" spans="1:9" x14ac:dyDescent="0.25">
      <c r="A145">
        <v>144</v>
      </c>
      <c r="B145" t="s">
        <v>1390</v>
      </c>
      <c r="C145" t="s">
        <v>1391</v>
      </c>
      <c r="D145" t="s">
        <v>1392</v>
      </c>
      <c r="E145" t="s">
        <v>1393</v>
      </c>
      <c r="F145">
        <v>2</v>
      </c>
      <c r="G145">
        <v>117</v>
      </c>
      <c r="H145">
        <v>76</v>
      </c>
      <c r="I145">
        <v>8948823</v>
      </c>
    </row>
    <row r="146" spans="1:9" x14ac:dyDescent="0.25">
      <c r="A146">
        <v>145</v>
      </c>
      <c r="B146" t="s">
        <v>1337</v>
      </c>
      <c r="C146" t="s">
        <v>863</v>
      </c>
      <c r="D146" t="s">
        <v>1338</v>
      </c>
      <c r="E146" t="s">
        <v>1318</v>
      </c>
      <c r="F146">
        <v>36</v>
      </c>
      <c r="G146">
        <v>103</v>
      </c>
      <c r="H146">
        <v>22</v>
      </c>
      <c r="I146">
        <v>8940880</v>
      </c>
    </row>
    <row r="147" spans="1:9" x14ac:dyDescent="0.25">
      <c r="A147">
        <v>146</v>
      </c>
      <c r="B147" t="s">
        <v>1461</v>
      </c>
      <c r="C147" t="s">
        <v>1462</v>
      </c>
      <c r="D147" t="s">
        <v>1463</v>
      </c>
      <c r="E147" t="s">
        <v>1329</v>
      </c>
      <c r="F147">
        <v>34</v>
      </c>
      <c r="G147">
        <v>121</v>
      </c>
      <c r="H147">
        <v>20</v>
      </c>
      <c r="I147">
        <v>8919144</v>
      </c>
    </row>
    <row r="148" spans="1:9" x14ac:dyDescent="0.25">
      <c r="A148">
        <v>147</v>
      </c>
      <c r="B148" t="s">
        <v>4518</v>
      </c>
      <c r="C148" t="s">
        <v>863</v>
      </c>
      <c r="D148" t="s">
        <v>4519</v>
      </c>
      <c r="E148" t="s">
        <v>1329</v>
      </c>
      <c r="F148">
        <v>41</v>
      </c>
      <c r="G148">
        <v>-1</v>
      </c>
      <c r="H148">
        <v>195</v>
      </c>
      <c r="I148">
        <v>8915727</v>
      </c>
    </row>
    <row r="149" spans="1:9" x14ac:dyDescent="0.25">
      <c r="A149">
        <v>148</v>
      </c>
      <c r="B149" t="s">
        <v>1515</v>
      </c>
      <c r="C149" t="s">
        <v>1516</v>
      </c>
      <c r="D149" t="s">
        <v>1517</v>
      </c>
      <c r="E149" t="s">
        <v>1120</v>
      </c>
      <c r="F149">
        <v>14</v>
      </c>
      <c r="G149">
        <v>154</v>
      </c>
      <c r="H149">
        <v>90</v>
      </c>
      <c r="I149">
        <v>8896571</v>
      </c>
    </row>
    <row r="150" spans="1:9" x14ac:dyDescent="0.25">
      <c r="A150">
        <v>149</v>
      </c>
      <c r="B150" t="s">
        <v>1408</v>
      </c>
      <c r="C150" t="s">
        <v>1409</v>
      </c>
      <c r="D150" t="s">
        <v>1410</v>
      </c>
      <c r="E150" t="s">
        <v>1411</v>
      </c>
      <c r="F150">
        <v>6</v>
      </c>
      <c r="G150">
        <v>142</v>
      </c>
      <c r="H150">
        <v>73</v>
      </c>
      <c r="I150">
        <v>8890399</v>
      </c>
    </row>
    <row r="151" spans="1:9" x14ac:dyDescent="0.25">
      <c r="A151">
        <v>150</v>
      </c>
      <c r="B151" t="s">
        <v>1369</v>
      </c>
      <c r="C151" t="s">
        <v>1370</v>
      </c>
      <c r="D151" t="s">
        <v>1371</v>
      </c>
      <c r="E151" t="s">
        <v>1161</v>
      </c>
      <c r="F151">
        <v>9</v>
      </c>
      <c r="G151">
        <v>113</v>
      </c>
      <c r="H151">
        <v>35</v>
      </c>
      <c r="I151">
        <v>8887284</v>
      </c>
    </row>
    <row r="152" spans="1:9" x14ac:dyDescent="0.25">
      <c r="A152">
        <v>151</v>
      </c>
      <c r="B152" t="s">
        <v>1475</v>
      </c>
      <c r="C152" t="s">
        <v>1476</v>
      </c>
      <c r="D152" t="s">
        <v>1477</v>
      </c>
      <c r="E152" t="s">
        <v>1133</v>
      </c>
      <c r="F152">
        <v>94</v>
      </c>
      <c r="G152">
        <v>141</v>
      </c>
      <c r="H152">
        <v>184</v>
      </c>
      <c r="I152">
        <v>8864852</v>
      </c>
    </row>
    <row r="153" spans="1:9" x14ac:dyDescent="0.25">
      <c r="A153">
        <v>152</v>
      </c>
      <c r="B153" t="s">
        <v>3719</v>
      </c>
      <c r="C153" t="s">
        <v>1320</v>
      </c>
      <c r="D153" t="s">
        <v>3720</v>
      </c>
      <c r="E153" t="s">
        <v>1322</v>
      </c>
      <c r="F153">
        <v>152</v>
      </c>
      <c r="G153">
        <v>173</v>
      </c>
      <c r="H153">
        <v>2</v>
      </c>
      <c r="I153">
        <v>8864664</v>
      </c>
    </row>
    <row r="154" spans="1:9" x14ac:dyDescent="0.25">
      <c r="A154">
        <v>153</v>
      </c>
      <c r="B154" t="s">
        <v>1529</v>
      </c>
      <c r="C154" t="s">
        <v>628</v>
      </c>
      <c r="D154" t="s">
        <v>1530</v>
      </c>
      <c r="E154" t="s">
        <v>1307</v>
      </c>
      <c r="F154">
        <v>12</v>
      </c>
      <c r="G154">
        <v>153</v>
      </c>
      <c r="H154">
        <v>186</v>
      </c>
      <c r="I154">
        <v>8841027</v>
      </c>
    </row>
    <row r="155" spans="1:9" x14ac:dyDescent="0.25">
      <c r="A155">
        <v>154</v>
      </c>
      <c r="B155" t="s">
        <v>1449</v>
      </c>
      <c r="C155" t="s">
        <v>635</v>
      </c>
      <c r="D155" t="s">
        <v>1450</v>
      </c>
      <c r="E155" t="s">
        <v>109</v>
      </c>
      <c r="F155">
        <v>23</v>
      </c>
      <c r="G155">
        <v>139</v>
      </c>
      <c r="H155">
        <v>161</v>
      </c>
      <c r="I155">
        <v>8825282</v>
      </c>
    </row>
    <row r="156" spans="1:9" x14ac:dyDescent="0.25">
      <c r="A156">
        <v>155</v>
      </c>
      <c r="B156" t="s">
        <v>1372</v>
      </c>
      <c r="C156" t="s">
        <v>1373</v>
      </c>
      <c r="D156" t="s">
        <v>1374</v>
      </c>
      <c r="E156" t="s">
        <v>1375</v>
      </c>
      <c r="F156">
        <v>15</v>
      </c>
      <c r="G156">
        <v>118</v>
      </c>
      <c r="H156">
        <v>17</v>
      </c>
      <c r="I156">
        <v>8814984</v>
      </c>
    </row>
    <row r="157" spans="1:9" x14ac:dyDescent="0.25">
      <c r="A157">
        <v>156</v>
      </c>
      <c r="B157" t="s">
        <v>1416</v>
      </c>
      <c r="C157" t="s">
        <v>1417</v>
      </c>
      <c r="D157" t="s">
        <v>1418</v>
      </c>
      <c r="E157" t="s">
        <v>341</v>
      </c>
      <c r="F157">
        <v>105</v>
      </c>
      <c r="G157">
        <v>126</v>
      </c>
      <c r="H157">
        <v>17</v>
      </c>
      <c r="I157">
        <v>8799870</v>
      </c>
    </row>
    <row r="158" spans="1:9" x14ac:dyDescent="0.25">
      <c r="A158">
        <v>157</v>
      </c>
      <c r="B158" t="s">
        <v>1471</v>
      </c>
      <c r="C158" t="s">
        <v>1472</v>
      </c>
      <c r="D158" t="s">
        <v>1473</v>
      </c>
      <c r="E158" t="s">
        <v>1474</v>
      </c>
      <c r="F158">
        <v>86</v>
      </c>
      <c r="G158">
        <v>138</v>
      </c>
      <c r="H158">
        <v>228</v>
      </c>
      <c r="I158">
        <v>8773657</v>
      </c>
    </row>
    <row r="159" spans="1:9" x14ac:dyDescent="0.25">
      <c r="A159">
        <v>158</v>
      </c>
      <c r="B159" t="s">
        <v>1537</v>
      </c>
      <c r="C159" t="s">
        <v>1177</v>
      </c>
      <c r="D159" t="s">
        <v>1538</v>
      </c>
      <c r="E159" t="s">
        <v>1179</v>
      </c>
      <c r="F159">
        <v>97</v>
      </c>
      <c r="G159">
        <v>172</v>
      </c>
      <c r="H159">
        <v>13</v>
      </c>
      <c r="I159">
        <v>8754482</v>
      </c>
    </row>
    <row r="160" spans="1:9" x14ac:dyDescent="0.25">
      <c r="A160">
        <v>159</v>
      </c>
      <c r="B160" t="s">
        <v>1433</v>
      </c>
      <c r="C160" t="s">
        <v>1434</v>
      </c>
      <c r="D160" t="s">
        <v>1435</v>
      </c>
      <c r="E160" t="s">
        <v>1436</v>
      </c>
      <c r="F160">
        <v>103</v>
      </c>
      <c r="G160">
        <v>135</v>
      </c>
      <c r="H160">
        <v>121</v>
      </c>
      <c r="I160">
        <v>8749552</v>
      </c>
    </row>
    <row r="161" spans="1:9" x14ac:dyDescent="0.25">
      <c r="A161">
        <v>160</v>
      </c>
      <c r="B161" t="s">
        <v>1503</v>
      </c>
      <c r="C161" t="s">
        <v>1362</v>
      </c>
      <c r="D161" t="s">
        <v>1504</v>
      </c>
      <c r="E161" t="s">
        <v>1364</v>
      </c>
      <c r="F161">
        <v>112</v>
      </c>
      <c r="G161">
        <v>134</v>
      </c>
      <c r="H161">
        <v>31</v>
      </c>
      <c r="I161">
        <v>8711018</v>
      </c>
    </row>
    <row r="162" spans="1:9" x14ac:dyDescent="0.25">
      <c r="A162">
        <v>161</v>
      </c>
      <c r="B162" t="s">
        <v>1036</v>
      </c>
      <c r="C162" t="s">
        <v>1037</v>
      </c>
      <c r="D162" t="s">
        <v>1038</v>
      </c>
      <c r="E162" t="s">
        <v>1039</v>
      </c>
      <c r="F162">
        <v>74</v>
      </c>
      <c r="G162">
        <v>145</v>
      </c>
      <c r="H162">
        <v>17</v>
      </c>
      <c r="I162">
        <v>8692945</v>
      </c>
    </row>
    <row r="163" spans="1:9" x14ac:dyDescent="0.25">
      <c r="A163">
        <v>162</v>
      </c>
      <c r="B163" t="s">
        <v>1957</v>
      </c>
      <c r="C163" t="s">
        <v>1958</v>
      </c>
      <c r="D163" t="s">
        <v>1959</v>
      </c>
      <c r="E163" t="s">
        <v>268</v>
      </c>
      <c r="F163">
        <v>21</v>
      </c>
      <c r="G163">
        <v>179</v>
      </c>
      <c r="H163">
        <v>168</v>
      </c>
      <c r="I163">
        <v>8691734</v>
      </c>
    </row>
    <row r="164" spans="1:9" x14ac:dyDescent="0.25">
      <c r="A164">
        <v>163</v>
      </c>
      <c r="B164" t="s">
        <v>4525</v>
      </c>
      <c r="C164" t="s">
        <v>1201</v>
      </c>
      <c r="D164" t="s">
        <v>4526</v>
      </c>
      <c r="E164" t="s">
        <v>1203</v>
      </c>
      <c r="F164">
        <v>140</v>
      </c>
      <c r="G164">
        <v>-1</v>
      </c>
      <c r="H164">
        <v>8</v>
      </c>
      <c r="I164">
        <v>8679912</v>
      </c>
    </row>
    <row r="165" spans="1:9" x14ac:dyDescent="0.25">
      <c r="A165">
        <v>164</v>
      </c>
      <c r="B165" t="s">
        <v>1440</v>
      </c>
      <c r="C165" t="s">
        <v>1441</v>
      </c>
      <c r="D165" t="s">
        <v>1442</v>
      </c>
      <c r="E165" t="s">
        <v>1443</v>
      </c>
      <c r="F165">
        <v>3</v>
      </c>
      <c r="G165">
        <v>129</v>
      </c>
      <c r="H165">
        <v>82</v>
      </c>
      <c r="I165">
        <v>8671804</v>
      </c>
    </row>
    <row r="166" spans="1:9" x14ac:dyDescent="0.25">
      <c r="A166">
        <v>165</v>
      </c>
      <c r="B166" t="s">
        <v>1386</v>
      </c>
      <c r="C166" t="s">
        <v>1387</v>
      </c>
      <c r="D166" t="s">
        <v>1388</v>
      </c>
      <c r="E166" t="s">
        <v>1389</v>
      </c>
      <c r="F166">
        <v>80</v>
      </c>
      <c r="G166">
        <v>131</v>
      </c>
      <c r="H166">
        <v>90</v>
      </c>
      <c r="I166">
        <v>8657887</v>
      </c>
    </row>
    <row r="167" spans="1:9" x14ac:dyDescent="0.25">
      <c r="A167">
        <v>166</v>
      </c>
      <c r="B167" t="s">
        <v>4520</v>
      </c>
      <c r="C167" t="s">
        <v>4521</v>
      </c>
      <c r="D167" t="s">
        <v>4522</v>
      </c>
      <c r="E167" t="s">
        <v>2172</v>
      </c>
      <c r="F167">
        <v>17</v>
      </c>
      <c r="G167">
        <v>-1</v>
      </c>
      <c r="H167">
        <v>38</v>
      </c>
      <c r="I167">
        <v>8649500</v>
      </c>
    </row>
    <row r="168" spans="1:9" x14ac:dyDescent="0.25">
      <c r="A168">
        <v>167</v>
      </c>
      <c r="B168" t="s">
        <v>1270</v>
      </c>
      <c r="C168" t="s">
        <v>1271</v>
      </c>
      <c r="D168" t="s">
        <v>1272</v>
      </c>
      <c r="E168" t="s">
        <v>1273</v>
      </c>
      <c r="F168">
        <v>51</v>
      </c>
      <c r="G168">
        <v>81</v>
      </c>
      <c r="H168">
        <v>4</v>
      </c>
      <c r="I168">
        <v>8631218</v>
      </c>
    </row>
    <row r="169" spans="1:9" x14ac:dyDescent="0.25">
      <c r="A169">
        <v>168</v>
      </c>
      <c r="B169" t="s">
        <v>13</v>
      </c>
      <c r="C169" t="s">
        <v>14</v>
      </c>
      <c r="D169" t="s">
        <v>15</v>
      </c>
      <c r="E169" t="s">
        <v>16</v>
      </c>
      <c r="F169">
        <v>137</v>
      </c>
      <c r="G169">
        <v>137</v>
      </c>
      <c r="H169">
        <v>12</v>
      </c>
      <c r="I169">
        <v>8626594</v>
      </c>
    </row>
    <row r="170" spans="1:9" x14ac:dyDescent="0.25">
      <c r="A170">
        <v>169</v>
      </c>
      <c r="B170" t="s">
        <v>1490</v>
      </c>
      <c r="C170" t="s">
        <v>635</v>
      </c>
      <c r="D170" t="s">
        <v>1491</v>
      </c>
      <c r="E170" t="s">
        <v>109</v>
      </c>
      <c r="F170">
        <v>6</v>
      </c>
      <c r="G170">
        <v>158</v>
      </c>
      <c r="H170">
        <v>149</v>
      </c>
      <c r="I170">
        <v>8621789</v>
      </c>
    </row>
    <row r="171" spans="1:9" x14ac:dyDescent="0.25">
      <c r="A171">
        <v>170</v>
      </c>
      <c r="B171" t="s">
        <v>1419</v>
      </c>
      <c r="C171" t="s">
        <v>1420</v>
      </c>
      <c r="D171" t="s">
        <v>1421</v>
      </c>
      <c r="E171" t="s">
        <v>1326</v>
      </c>
      <c r="F171">
        <v>57</v>
      </c>
      <c r="G171">
        <v>127</v>
      </c>
      <c r="H171">
        <v>11</v>
      </c>
      <c r="I171">
        <v>8616425</v>
      </c>
    </row>
    <row r="172" spans="1:9" x14ac:dyDescent="0.25">
      <c r="A172">
        <v>171</v>
      </c>
      <c r="B172" t="s">
        <v>1487</v>
      </c>
      <c r="C172" t="s">
        <v>1488</v>
      </c>
      <c r="D172" t="s">
        <v>1489</v>
      </c>
      <c r="E172" t="s">
        <v>976</v>
      </c>
      <c r="F172">
        <v>89</v>
      </c>
      <c r="G172">
        <v>168</v>
      </c>
      <c r="H172">
        <v>77</v>
      </c>
      <c r="I172">
        <v>8598625</v>
      </c>
    </row>
    <row r="173" spans="1:9" x14ac:dyDescent="0.25">
      <c r="A173">
        <v>172</v>
      </c>
      <c r="B173" t="s">
        <v>1511</v>
      </c>
      <c r="C173" t="s">
        <v>1512</v>
      </c>
      <c r="D173" t="s">
        <v>1513</v>
      </c>
      <c r="E173" t="s">
        <v>1514</v>
      </c>
      <c r="F173">
        <v>139</v>
      </c>
      <c r="G173">
        <v>150</v>
      </c>
      <c r="H173">
        <v>22</v>
      </c>
      <c r="I173">
        <v>8569227</v>
      </c>
    </row>
    <row r="174" spans="1:9" x14ac:dyDescent="0.25">
      <c r="A174">
        <v>173</v>
      </c>
      <c r="B174" t="s">
        <v>1518</v>
      </c>
      <c r="C174" t="s">
        <v>1519</v>
      </c>
      <c r="D174" t="s">
        <v>1520</v>
      </c>
      <c r="E174" t="s">
        <v>341</v>
      </c>
      <c r="F174">
        <v>41</v>
      </c>
      <c r="G174">
        <v>157</v>
      </c>
      <c r="H174">
        <v>53</v>
      </c>
      <c r="I174">
        <v>8547343</v>
      </c>
    </row>
    <row r="175" spans="1:9" x14ac:dyDescent="0.25">
      <c r="A175">
        <v>174</v>
      </c>
      <c r="B175" t="s">
        <v>1497</v>
      </c>
      <c r="C175" t="s">
        <v>503</v>
      </c>
      <c r="D175" t="s">
        <v>1498</v>
      </c>
      <c r="E175" t="s">
        <v>505</v>
      </c>
      <c r="F175">
        <v>78</v>
      </c>
      <c r="G175">
        <v>159</v>
      </c>
      <c r="H175">
        <v>15</v>
      </c>
      <c r="I175">
        <v>8497024</v>
      </c>
    </row>
    <row r="176" spans="1:9" x14ac:dyDescent="0.25">
      <c r="A176">
        <v>175</v>
      </c>
      <c r="B176" t="s">
        <v>1579</v>
      </c>
      <c r="C176" t="s">
        <v>710</v>
      </c>
      <c r="D176" t="s">
        <v>1580</v>
      </c>
      <c r="E176" t="s">
        <v>1211</v>
      </c>
      <c r="F176">
        <v>155</v>
      </c>
      <c r="G176">
        <v>167</v>
      </c>
      <c r="H176">
        <v>28</v>
      </c>
      <c r="I176">
        <v>8494672</v>
      </c>
    </row>
    <row r="177" spans="1:9" x14ac:dyDescent="0.25">
      <c r="A177">
        <v>176</v>
      </c>
      <c r="B177" t="s">
        <v>1380</v>
      </c>
      <c r="C177" t="s">
        <v>1381</v>
      </c>
      <c r="D177" t="s">
        <v>1382</v>
      </c>
      <c r="E177" t="s">
        <v>1383</v>
      </c>
      <c r="F177">
        <v>3</v>
      </c>
      <c r="G177">
        <v>128</v>
      </c>
      <c r="H177">
        <v>69</v>
      </c>
      <c r="I177">
        <v>8428150</v>
      </c>
    </row>
    <row r="178" spans="1:9" x14ac:dyDescent="0.25">
      <c r="A178">
        <v>177</v>
      </c>
      <c r="B178" t="s">
        <v>3717</v>
      </c>
      <c r="C178" t="s">
        <v>710</v>
      </c>
      <c r="D178" t="s">
        <v>3718</v>
      </c>
      <c r="E178" t="s">
        <v>1211</v>
      </c>
      <c r="F178">
        <v>125</v>
      </c>
      <c r="G178">
        <v>192</v>
      </c>
      <c r="H178">
        <v>3</v>
      </c>
      <c r="I178">
        <v>8328506</v>
      </c>
    </row>
    <row r="179" spans="1:9" x14ac:dyDescent="0.25">
      <c r="A179">
        <v>178</v>
      </c>
      <c r="B179" t="s">
        <v>1525</v>
      </c>
      <c r="C179" t="s">
        <v>1526</v>
      </c>
      <c r="D179" t="s">
        <v>1527</v>
      </c>
      <c r="E179" t="s">
        <v>1528</v>
      </c>
      <c r="F179">
        <v>12</v>
      </c>
      <c r="G179">
        <v>162</v>
      </c>
      <c r="H179">
        <v>242</v>
      </c>
      <c r="I179">
        <v>8315408</v>
      </c>
    </row>
    <row r="180" spans="1:9" x14ac:dyDescent="0.25">
      <c r="A180">
        <v>179</v>
      </c>
      <c r="B180" t="s">
        <v>3791</v>
      </c>
      <c r="C180" t="s">
        <v>3792</v>
      </c>
      <c r="D180" t="s">
        <v>3793</v>
      </c>
      <c r="E180" t="s">
        <v>109</v>
      </c>
      <c r="F180">
        <v>71</v>
      </c>
      <c r="G180">
        <v>200</v>
      </c>
      <c r="H180">
        <v>8</v>
      </c>
      <c r="I180">
        <v>8304707</v>
      </c>
    </row>
    <row r="181" spans="1:9" x14ac:dyDescent="0.25">
      <c r="A181">
        <v>180</v>
      </c>
      <c r="B181" t="s">
        <v>4724</v>
      </c>
      <c r="C181" t="s">
        <v>1550</v>
      </c>
      <c r="D181" t="s">
        <v>4725</v>
      </c>
      <c r="E181" t="s">
        <v>1551</v>
      </c>
      <c r="F181">
        <v>180</v>
      </c>
      <c r="G181">
        <v>-1</v>
      </c>
      <c r="H181">
        <v>2</v>
      </c>
      <c r="I181">
        <v>8243375</v>
      </c>
    </row>
    <row r="182" spans="1:9" x14ac:dyDescent="0.25">
      <c r="A182">
        <v>181</v>
      </c>
      <c r="B182" t="s">
        <v>1546</v>
      </c>
      <c r="C182" t="s">
        <v>1547</v>
      </c>
      <c r="D182" t="s">
        <v>1548</v>
      </c>
      <c r="E182" t="s">
        <v>1549</v>
      </c>
      <c r="F182">
        <v>181</v>
      </c>
      <c r="G182">
        <v>189</v>
      </c>
      <c r="H182">
        <v>4</v>
      </c>
      <c r="I182">
        <v>8239430</v>
      </c>
    </row>
    <row r="183" spans="1:9" x14ac:dyDescent="0.25">
      <c r="A183">
        <v>182</v>
      </c>
      <c r="B183" t="s">
        <v>1458</v>
      </c>
      <c r="C183" t="s">
        <v>641</v>
      </c>
      <c r="D183" t="s">
        <v>1459</v>
      </c>
      <c r="E183" t="s">
        <v>1460</v>
      </c>
      <c r="F183">
        <v>37</v>
      </c>
      <c r="G183">
        <v>165</v>
      </c>
      <c r="H183">
        <v>33</v>
      </c>
      <c r="I183">
        <v>8234756</v>
      </c>
    </row>
    <row r="184" spans="1:9" x14ac:dyDescent="0.25">
      <c r="A184">
        <v>183</v>
      </c>
      <c r="B184" t="s">
        <v>1499</v>
      </c>
      <c r="C184" t="s">
        <v>1500</v>
      </c>
      <c r="D184" t="s">
        <v>1501</v>
      </c>
      <c r="E184" t="s">
        <v>1502</v>
      </c>
      <c r="F184">
        <v>2</v>
      </c>
      <c r="G184">
        <v>161</v>
      </c>
      <c r="H184">
        <v>70</v>
      </c>
      <c r="I184">
        <v>8232795</v>
      </c>
    </row>
    <row r="185" spans="1:9" x14ac:dyDescent="0.25">
      <c r="A185">
        <v>184</v>
      </c>
      <c r="B185" t="s">
        <v>1521</v>
      </c>
      <c r="C185" t="s">
        <v>1522</v>
      </c>
      <c r="D185" t="s">
        <v>1523</v>
      </c>
      <c r="E185" t="s">
        <v>1524</v>
      </c>
      <c r="F185">
        <v>101</v>
      </c>
      <c r="G185">
        <v>186</v>
      </c>
      <c r="H185">
        <v>41</v>
      </c>
      <c r="I185">
        <v>8227929</v>
      </c>
    </row>
    <row r="186" spans="1:9" x14ac:dyDescent="0.25">
      <c r="A186">
        <v>185</v>
      </c>
      <c r="B186" t="s">
        <v>4726</v>
      </c>
      <c r="C186" t="s">
        <v>573</v>
      </c>
      <c r="D186" t="s">
        <v>2014</v>
      </c>
      <c r="E186" t="s">
        <v>573</v>
      </c>
      <c r="F186">
        <v>2</v>
      </c>
      <c r="G186">
        <v>-1</v>
      </c>
      <c r="H186">
        <v>73</v>
      </c>
      <c r="I186">
        <v>8225057</v>
      </c>
    </row>
    <row r="187" spans="1:9" x14ac:dyDescent="0.25">
      <c r="A187">
        <v>186</v>
      </c>
      <c r="B187" t="s">
        <v>1430</v>
      </c>
      <c r="C187" t="s">
        <v>1431</v>
      </c>
      <c r="D187" t="s">
        <v>1432</v>
      </c>
      <c r="E187" t="s">
        <v>232</v>
      </c>
      <c r="F187">
        <v>98</v>
      </c>
      <c r="G187">
        <v>147</v>
      </c>
      <c r="H187">
        <v>12</v>
      </c>
      <c r="I187">
        <v>8215432</v>
      </c>
    </row>
    <row r="188" spans="1:9" x14ac:dyDescent="0.25">
      <c r="A188">
        <v>187</v>
      </c>
      <c r="B188" t="s">
        <v>1565</v>
      </c>
      <c r="C188" t="s">
        <v>1566</v>
      </c>
      <c r="D188" t="s">
        <v>1567</v>
      </c>
      <c r="E188" t="s">
        <v>1429</v>
      </c>
      <c r="F188">
        <v>2</v>
      </c>
      <c r="G188">
        <v>166</v>
      </c>
      <c r="H188">
        <v>215</v>
      </c>
      <c r="I188">
        <v>8207877</v>
      </c>
    </row>
    <row r="189" spans="1:9" x14ac:dyDescent="0.25">
      <c r="A189">
        <v>188</v>
      </c>
      <c r="B189" t="s">
        <v>1480</v>
      </c>
      <c r="C189" t="s">
        <v>1159</v>
      </c>
      <c r="D189" t="s">
        <v>1481</v>
      </c>
      <c r="E189" t="s">
        <v>1161</v>
      </c>
      <c r="F189">
        <v>8</v>
      </c>
      <c r="G189">
        <v>151</v>
      </c>
      <c r="H189">
        <v>35</v>
      </c>
      <c r="I189">
        <v>8201290</v>
      </c>
    </row>
    <row r="190" spans="1:9" x14ac:dyDescent="0.25">
      <c r="A190">
        <v>189</v>
      </c>
      <c r="B190" t="s">
        <v>1960</v>
      </c>
      <c r="C190" t="s">
        <v>1961</v>
      </c>
      <c r="D190" t="s">
        <v>1962</v>
      </c>
      <c r="E190" t="s">
        <v>1963</v>
      </c>
      <c r="F190">
        <v>4</v>
      </c>
      <c r="G190">
        <v>176</v>
      </c>
      <c r="H190">
        <v>331</v>
      </c>
      <c r="I190">
        <v>8166774</v>
      </c>
    </row>
    <row r="191" spans="1:9" x14ac:dyDescent="0.25">
      <c r="A191">
        <v>190</v>
      </c>
      <c r="B191" t="s">
        <v>1558</v>
      </c>
      <c r="C191" t="s">
        <v>1559</v>
      </c>
      <c r="D191" t="s">
        <v>1560</v>
      </c>
      <c r="E191" t="s">
        <v>1561</v>
      </c>
      <c r="F191">
        <v>19</v>
      </c>
      <c r="G191">
        <v>160</v>
      </c>
      <c r="H191">
        <v>23</v>
      </c>
      <c r="I191">
        <v>8151606</v>
      </c>
    </row>
    <row r="192" spans="1:9" x14ac:dyDescent="0.25">
      <c r="A192">
        <v>191</v>
      </c>
      <c r="B192" t="s">
        <v>1554</v>
      </c>
      <c r="C192" t="s">
        <v>1555</v>
      </c>
      <c r="D192" t="s">
        <v>1556</v>
      </c>
      <c r="E192" t="s">
        <v>1557</v>
      </c>
      <c r="F192">
        <v>86</v>
      </c>
      <c r="G192">
        <v>180</v>
      </c>
      <c r="H192">
        <v>178</v>
      </c>
      <c r="I192">
        <v>8108417</v>
      </c>
    </row>
    <row r="193" spans="1:9" x14ac:dyDescent="0.25">
      <c r="A193">
        <v>192</v>
      </c>
      <c r="B193" t="s">
        <v>1967</v>
      </c>
      <c r="C193" t="s">
        <v>1190</v>
      </c>
      <c r="D193" t="s">
        <v>1968</v>
      </c>
      <c r="E193" t="s">
        <v>1192</v>
      </c>
      <c r="F193">
        <v>16</v>
      </c>
      <c r="G193">
        <v>182</v>
      </c>
      <c r="H193">
        <v>52</v>
      </c>
      <c r="I193">
        <v>8094319</v>
      </c>
    </row>
    <row r="194" spans="1:9" x14ac:dyDescent="0.25">
      <c r="A194">
        <v>193</v>
      </c>
      <c r="B194" t="s">
        <v>1969</v>
      </c>
      <c r="C194" t="s">
        <v>812</v>
      </c>
      <c r="D194" t="s">
        <v>1970</v>
      </c>
      <c r="E194" t="s">
        <v>1971</v>
      </c>
      <c r="F194">
        <v>31</v>
      </c>
      <c r="G194">
        <v>193</v>
      </c>
      <c r="H194">
        <v>199</v>
      </c>
      <c r="I194">
        <v>8078408</v>
      </c>
    </row>
    <row r="195" spans="1:9" x14ac:dyDescent="0.25">
      <c r="A195">
        <v>194</v>
      </c>
      <c r="B195" t="s">
        <v>4396</v>
      </c>
      <c r="C195" t="s">
        <v>4397</v>
      </c>
      <c r="D195" t="s">
        <v>4398</v>
      </c>
      <c r="E195" t="s">
        <v>4399</v>
      </c>
      <c r="F195">
        <v>194</v>
      </c>
      <c r="G195">
        <v>-1</v>
      </c>
      <c r="H195">
        <v>1</v>
      </c>
      <c r="I195">
        <v>8078226</v>
      </c>
    </row>
    <row r="196" spans="1:9" x14ac:dyDescent="0.25">
      <c r="A196">
        <v>195</v>
      </c>
      <c r="B196" t="s">
        <v>1492</v>
      </c>
      <c r="C196" t="s">
        <v>1493</v>
      </c>
      <c r="D196" t="s">
        <v>1494</v>
      </c>
      <c r="E196" t="s">
        <v>109</v>
      </c>
      <c r="F196">
        <v>20</v>
      </c>
      <c r="G196">
        <v>183</v>
      </c>
      <c r="H196">
        <v>80</v>
      </c>
      <c r="I196">
        <v>8073802</v>
      </c>
    </row>
    <row r="197" spans="1:9" x14ac:dyDescent="0.25">
      <c r="A197">
        <v>196</v>
      </c>
      <c r="B197" t="s">
        <v>1505</v>
      </c>
      <c r="C197" t="s">
        <v>641</v>
      </c>
      <c r="D197" t="s">
        <v>1506</v>
      </c>
      <c r="E197" t="s">
        <v>232</v>
      </c>
      <c r="F197">
        <v>7</v>
      </c>
      <c r="G197">
        <v>169</v>
      </c>
      <c r="H197">
        <v>31</v>
      </c>
      <c r="I197">
        <v>8058831</v>
      </c>
    </row>
    <row r="198" spans="1:9" x14ac:dyDescent="0.25">
      <c r="A198">
        <v>197</v>
      </c>
      <c r="B198" t="s">
        <v>1454</v>
      </c>
      <c r="C198" t="s">
        <v>1455</v>
      </c>
      <c r="D198" t="s">
        <v>1456</v>
      </c>
      <c r="E198" t="s">
        <v>1457</v>
      </c>
      <c r="F198">
        <v>19</v>
      </c>
      <c r="G198">
        <v>132</v>
      </c>
      <c r="H198">
        <v>6</v>
      </c>
      <c r="I198">
        <v>8046686</v>
      </c>
    </row>
    <row r="199" spans="1:9" x14ac:dyDescent="0.25">
      <c r="A199">
        <v>198</v>
      </c>
      <c r="B199" t="s">
        <v>1571</v>
      </c>
      <c r="C199" t="s">
        <v>1572</v>
      </c>
      <c r="D199" t="s">
        <v>1573</v>
      </c>
      <c r="E199" t="s">
        <v>1574</v>
      </c>
      <c r="F199">
        <v>4</v>
      </c>
      <c r="G199">
        <v>171</v>
      </c>
      <c r="H199">
        <v>72</v>
      </c>
      <c r="I199">
        <v>8016860</v>
      </c>
    </row>
    <row r="200" spans="1:9" x14ac:dyDescent="0.25">
      <c r="A200">
        <v>199</v>
      </c>
      <c r="B200" t="s">
        <v>4703</v>
      </c>
      <c r="C200" t="s">
        <v>4704</v>
      </c>
      <c r="D200" t="s">
        <v>4705</v>
      </c>
      <c r="E200" t="s">
        <v>1972</v>
      </c>
      <c r="F200">
        <v>196</v>
      </c>
      <c r="G200">
        <v>-1</v>
      </c>
      <c r="H200">
        <v>2</v>
      </c>
      <c r="I200">
        <v>8016774</v>
      </c>
    </row>
    <row r="201" spans="1:9" x14ac:dyDescent="0.25">
      <c r="A201">
        <v>200</v>
      </c>
      <c r="B201" t="s">
        <v>4727</v>
      </c>
      <c r="C201" t="s">
        <v>573</v>
      </c>
      <c r="D201" t="s">
        <v>4728</v>
      </c>
      <c r="E201" t="s">
        <v>573</v>
      </c>
      <c r="F201">
        <v>24</v>
      </c>
      <c r="G201">
        <v>-1</v>
      </c>
      <c r="H201">
        <v>42</v>
      </c>
      <c r="I201">
        <v>8009560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05829-F630-4F50-A072-FFC1055B887E}">
  <sheetPr codeName="Planilha10"/>
  <dimension ref="A1:F201"/>
  <sheetViews>
    <sheetView showGridLines="0" zoomScale="90" zoomScaleNormal="90" workbookViewId="0">
      <selection activeCell="C6" sqref="C6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44.5703125" bestFit="1" customWidth="1"/>
    <col min="4" max="4" width="12.5703125" bestFit="1" customWidth="1"/>
    <col min="5" max="5" width="16" bestFit="1" customWidth="1"/>
    <col min="6" max="6" width="17.8554687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1956</v>
      </c>
    </row>
    <row r="2" spans="1:6" x14ac:dyDescent="0.25">
      <c r="A2">
        <v>1</v>
      </c>
      <c r="B2" t="s">
        <v>856</v>
      </c>
      <c r="C2" t="s">
        <v>496</v>
      </c>
      <c r="D2">
        <v>1</v>
      </c>
      <c r="E2">
        <v>31</v>
      </c>
      <c r="F2">
        <v>104</v>
      </c>
    </row>
    <row r="3" spans="1:6" x14ac:dyDescent="0.25">
      <c r="A3">
        <v>2</v>
      </c>
      <c r="B3" t="s">
        <v>572</v>
      </c>
      <c r="C3" t="s">
        <v>573</v>
      </c>
      <c r="D3">
        <v>1</v>
      </c>
      <c r="E3">
        <v>1</v>
      </c>
      <c r="F3">
        <v>203</v>
      </c>
    </row>
    <row r="4" spans="1:6" x14ac:dyDescent="0.25">
      <c r="A4">
        <v>3</v>
      </c>
      <c r="B4" t="s">
        <v>1581</v>
      </c>
      <c r="C4" t="s">
        <v>1159</v>
      </c>
      <c r="D4">
        <v>1</v>
      </c>
      <c r="E4">
        <v>2</v>
      </c>
      <c r="F4">
        <v>203</v>
      </c>
    </row>
    <row r="5" spans="1:6" x14ac:dyDescent="0.25">
      <c r="A5">
        <v>4</v>
      </c>
      <c r="B5" t="s">
        <v>815</v>
      </c>
      <c r="C5" t="s">
        <v>816</v>
      </c>
      <c r="D5">
        <v>1</v>
      </c>
      <c r="E5">
        <v>3</v>
      </c>
      <c r="F5">
        <v>203</v>
      </c>
    </row>
    <row r="6" spans="1:6" x14ac:dyDescent="0.25">
      <c r="A6">
        <v>5</v>
      </c>
      <c r="B6" t="s">
        <v>627</v>
      </c>
      <c r="C6" t="s">
        <v>628</v>
      </c>
      <c r="D6">
        <v>1</v>
      </c>
      <c r="E6">
        <v>4</v>
      </c>
      <c r="F6">
        <v>203</v>
      </c>
    </row>
    <row r="7" spans="1:6" x14ac:dyDescent="0.25">
      <c r="A7">
        <v>6</v>
      </c>
      <c r="B7" t="s">
        <v>1582</v>
      </c>
      <c r="C7" t="s">
        <v>1583</v>
      </c>
      <c r="D7">
        <v>5</v>
      </c>
      <c r="E7">
        <v>5</v>
      </c>
      <c r="F7">
        <v>11</v>
      </c>
    </row>
    <row r="8" spans="1:6" x14ac:dyDescent="0.25">
      <c r="A8">
        <v>7</v>
      </c>
      <c r="B8" t="s">
        <v>1584</v>
      </c>
      <c r="C8" t="s">
        <v>1177</v>
      </c>
      <c r="D8">
        <v>5</v>
      </c>
      <c r="E8">
        <v>7</v>
      </c>
      <c r="F8">
        <v>144</v>
      </c>
    </row>
    <row r="9" spans="1:6" x14ac:dyDescent="0.25">
      <c r="A9">
        <v>8</v>
      </c>
      <c r="B9" t="s">
        <v>619</v>
      </c>
      <c r="C9" t="s">
        <v>620</v>
      </c>
      <c r="D9">
        <v>1</v>
      </c>
      <c r="E9">
        <v>6</v>
      </c>
      <c r="F9">
        <v>203</v>
      </c>
    </row>
    <row r="10" spans="1:6" x14ac:dyDescent="0.25">
      <c r="A10">
        <v>9</v>
      </c>
      <c r="B10" t="s">
        <v>696</v>
      </c>
      <c r="C10" t="s">
        <v>697</v>
      </c>
      <c r="D10">
        <v>2</v>
      </c>
      <c r="E10">
        <v>10</v>
      </c>
      <c r="F10">
        <v>203</v>
      </c>
    </row>
    <row r="11" spans="1:6" x14ac:dyDescent="0.25">
      <c r="A11">
        <v>10</v>
      </c>
      <c r="B11" t="s">
        <v>708</v>
      </c>
      <c r="C11" t="s">
        <v>481</v>
      </c>
      <c r="D11">
        <v>2</v>
      </c>
      <c r="E11">
        <v>8</v>
      </c>
      <c r="F11">
        <v>203</v>
      </c>
    </row>
    <row r="12" spans="1:6" x14ac:dyDescent="0.25">
      <c r="A12">
        <v>11</v>
      </c>
      <c r="B12" t="s">
        <v>1585</v>
      </c>
      <c r="C12" t="s">
        <v>1586</v>
      </c>
      <c r="D12">
        <v>7</v>
      </c>
      <c r="E12">
        <v>9</v>
      </c>
      <c r="F12">
        <v>203</v>
      </c>
    </row>
    <row r="13" spans="1:6" x14ac:dyDescent="0.25">
      <c r="A13">
        <v>12</v>
      </c>
      <c r="B13" t="s">
        <v>1587</v>
      </c>
      <c r="C13" t="s">
        <v>1588</v>
      </c>
      <c r="D13">
        <v>11</v>
      </c>
      <c r="E13">
        <v>11</v>
      </c>
      <c r="F13">
        <v>11</v>
      </c>
    </row>
    <row r="14" spans="1:6" x14ac:dyDescent="0.25">
      <c r="A14">
        <v>13</v>
      </c>
      <c r="B14" t="s">
        <v>634</v>
      </c>
      <c r="C14" t="s">
        <v>635</v>
      </c>
      <c r="D14">
        <v>2</v>
      </c>
      <c r="E14">
        <v>13</v>
      </c>
      <c r="F14">
        <v>203</v>
      </c>
    </row>
    <row r="15" spans="1:6" x14ac:dyDescent="0.25">
      <c r="A15">
        <v>14</v>
      </c>
      <c r="B15" t="s">
        <v>655</v>
      </c>
      <c r="C15" t="s">
        <v>511</v>
      </c>
      <c r="D15">
        <v>9</v>
      </c>
      <c r="E15">
        <v>15</v>
      </c>
      <c r="F15">
        <v>203</v>
      </c>
    </row>
    <row r="16" spans="1:6" x14ac:dyDescent="0.25">
      <c r="A16">
        <v>15</v>
      </c>
      <c r="B16" t="s">
        <v>1589</v>
      </c>
      <c r="C16" t="s">
        <v>1590</v>
      </c>
      <c r="D16">
        <v>2</v>
      </c>
      <c r="E16">
        <v>12</v>
      </c>
      <c r="F16">
        <v>203</v>
      </c>
    </row>
    <row r="17" spans="1:6" x14ac:dyDescent="0.25">
      <c r="A17">
        <v>16</v>
      </c>
      <c r="B17" t="s">
        <v>738</v>
      </c>
      <c r="C17" t="s">
        <v>739</v>
      </c>
      <c r="D17">
        <v>2</v>
      </c>
      <c r="E17">
        <v>14</v>
      </c>
      <c r="F17">
        <v>203</v>
      </c>
    </row>
    <row r="18" spans="1:6" x14ac:dyDescent="0.25">
      <c r="A18">
        <v>17</v>
      </c>
      <c r="B18" t="s">
        <v>1591</v>
      </c>
      <c r="C18" t="s">
        <v>1201</v>
      </c>
      <c r="D18">
        <v>11</v>
      </c>
      <c r="E18">
        <v>16</v>
      </c>
      <c r="F18">
        <v>36</v>
      </c>
    </row>
    <row r="19" spans="1:6" x14ac:dyDescent="0.25">
      <c r="A19">
        <v>18</v>
      </c>
      <c r="B19" t="s">
        <v>722</v>
      </c>
      <c r="C19" t="s">
        <v>723</v>
      </c>
      <c r="D19">
        <v>4</v>
      </c>
      <c r="E19">
        <v>23</v>
      </c>
      <c r="F19">
        <v>203</v>
      </c>
    </row>
    <row r="20" spans="1:6" x14ac:dyDescent="0.25">
      <c r="A20">
        <v>19</v>
      </c>
      <c r="B20" t="s">
        <v>1598</v>
      </c>
      <c r="C20" t="s">
        <v>1599</v>
      </c>
      <c r="D20">
        <v>17</v>
      </c>
      <c r="E20">
        <v>21</v>
      </c>
      <c r="F20">
        <v>203</v>
      </c>
    </row>
    <row r="21" spans="1:6" x14ac:dyDescent="0.25">
      <c r="A21">
        <v>20</v>
      </c>
      <c r="B21" t="s">
        <v>640</v>
      </c>
      <c r="C21" t="s">
        <v>641</v>
      </c>
      <c r="D21">
        <v>4</v>
      </c>
      <c r="E21">
        <v>22</v>
      </c>
      <c r="F21">
        <v>203</v>
      </c>
    </row>
    <row r="22" spans="1:6" x14ac:dyDescent="0.25">
      <c r="A22">
        <v>21</v>
      </c>
      <c r="B22" t="s">
        <v>1592</v>
      </c>
      <c r="C22" t="s">
        <v>1593</v>
      </c>
      <c r="D22">
        <v>18</v>
      </c>
      <c r="E22">
        <v>18</v>
      </c>
      <c r="F22">
        <v>10</v>
      </c>
    </row>
    <row r="23" spans="1:6" x14ac:dyDescent="0.25">
      <c r="A23">
        <v>22</v>
      </c>
      <c r="B23" t="s">
        <v>1601</v>
      </c>
      <c r="C23" t="s">
        <v>1500</v>
      </c>
      <c r="D23">
        <v>1</v>
      </c>
      <c r="E23">
        <v>17</v>
      </c>
      <c r="F23">
        <v>203</v>
      </c>
    </row>
    <row r="24" spans="1:6" x14ac:dyDescent="0.25">
      <c r="A24">
        <v>23</v>
      </c>
      <c r="B24" t="s">
        <v>1594</v>
      </c>
      <c r="C24" t="s">
        <v>1595</v>
      </c>
      <c r="D24">
        <v>19</v>
      </c>
      <c r="E24">
        <v>19</v>
      </c>
      <c r="F24">
        <v>10</v>
      </c>
    </row>
    <row r="25" spans="1:6" x14ac:dyDescent="0.25">
      <c r="A25">
        <v>24</v>
      </c>
      <c r="B25" t="s">
        <v>1596</v>
      </c>
      <c r="C25" t="s">
        <v>1597</v>
      </c>
      <c r="D25">
        <v>20</v>
      </c>
      <c r="E25">
        <v>20</v>
      </c>
      <c r="F25">
        <v>10</v>
      </c>
    </row>
    <row r="26" spans="1:6" x14ac:dyDescent="0.25">
      <c r="A26">
        <v>25</v>
      </c>
      <c r="B26" t="s">
        <v>709</v>
      </c>
      <c r="C26" t="s">
        <v>710</v>
      </c>
      <c r="D26">
        <v>5</v>
      </c>
      <c r="E26">
        <v>25</v>
      </c>
      <c r="F26">
        <v>203</v>
      </c>
    </row>
    <row r="27" spans="1:6" x14ac:dyDescent="0.25">
      <c r="A27">
        <v>26</v>
      </c>
      <c r="B27" t="s">
        <v>1611</v>
      </c>
      <c r="C27" t="s">
        <v>1612</v>
      </c>
      <c r="D27">
        <v>6</v>
      </c>
      <c r="E27">
        <v>33</v>
      </c>
      <c r="F27">
        <v>179</v>
      </c>
    </row>
    <row r="28" spans="1:6" x14ac:dyDescent="0.25">
      <c r="A28">
        <v>27</v>
      </c>
      <c r="B28" t="s">
        <v>610</v>
      </c>
      <c r="C28" t="s">
        <v>329</v>
      </c>
      <c r="D28">
        <v>6</v>
      </c>
      <c r="E28">
        <v>28</v>
      </c>
      <c r="F28">
        <v>203</v>
      </c>
    </row>
    <row r="29" spans="1:6" x14ac:dyDescent="0.25">
      <c r="A29">
        <v>28</v>
      </c>
      <c r="B29" t="s">
        <v>862</v>
      </c>
      <c r="C29" t="s">
        <v>863</v>
      </c>
      <c r="D29">
        <v>1</v>
      </c>
      <c r="E29">
        <v>24</v>
      </c>
      <c r="F29">
        <v>203</v>
      </c>
    </row>
    <row r="30" spans="1:6" x14ac:dyDescent="0.25">
      <c r="A30">
        <v>29</v>
      </c>
      <c r="B30" t="s">
        <v>1602</v>
      </c>
      <c r="C30" t="s">
        <v>1603</v>
      </c>
      <c r="D30">
        <v>2</v>
      </c>
      <c r="E30">
        <v>29</v>
      </c>
      <c r="F30">
        <v>203</v>
      </c>
    </row>
    <row r="31" spans="1:6" x14ac:dyDescent="0.25">
      <c r="A31">
        <v>30</v>
      </c>
      <c r="B31" t="s">
        <v>1607</v>
      </c>
      <c r="C31" t="s">
        <v>1608</v>
      </c>
      <c r="D31">
        <v>2</v>
      </c>
      <c r="E31">
        <v>30</v>
      </c>
      <c r="F31">
        <v>203</v>
      </c>
    </row>
    <row r="32" spans="1:6" x14ac:dyDescent="0.25">
      <c r="A32">
        <v>31</v>
      </c>
      <c r="B32" t="s">
        <v>1600</v>
      </c>
      <c r="C32" t="s">
        <v>1324</v>
      </c>
      <c r="D32">
        <v>4</v>
      </c>
      <c r="E32">
        <v>26</v>
      </c>
      <c r="F32">
        <v>203</v>
      </c>
    </row>
    <row r="33" spans="1:6" x14ac:dyDescent="0.25">
      <c r="A33">
        <v>32</v>
      </c>
      <c r="B33" t="s">
        <v>811</v>
      </c>
      <c r="C33" t="s">
        <v>812</v>
      </c>
      <c r="D33">
        <v>2</v>
      </c>
      <c r="E33">
        <v>35</v>
      </c>
      <c r="F33">
        <v>203</v>
      </c>
    </row>
    <row r="34" spans="1:6" x14ac:dyDescent="0.25">
      <c r="A34">
        <v>33</v>
      </c>
      <c r="B34" t="s">
        <v>1613</v>
      </c>
      <c r="C34" t="s">
        <v>1377</v>
      </c>
      <c r="D34">
        <v>9</v>
      </c>
      <c r="E34">
        <v>32</v>
      </c>
      <c r="F34">
        <v>155</v>
      </c>
    </row>
    <row r="35" spans="1:6" x14ac:dyDescent="0.25">
      <c r="A35">
        <v>34</v>
      </c>
      <c r="B35" t="s">
        <v>1614</v>
      </c>
      <c r="C35" t="s">
        <v>1615</v>
      </c>
      <c r="D35">
        <v>1</v>
      </c>
      <c r="E35">
        <v>37</v>
      </c>
      <c r="F35">
        <v>203</v>
      </c>
    </row>
    <row r="36" spans="1:6" x14ac:dyDescent="0.25">
      <c r="A36">
        <v>35</v>
      </c>
      <c r="B36" t="s">
        <v>1624</v>
      </c>
      <c r="C36" t="s">
        <v>1288</v>
      </c>
      <c r="D36">
        <v>2</v>
      </c>
      <c r="E36">
        <v>39</v>
      </c>
      <c r="F36">
        <v>203</v>
      </c>
    </row>
    <row r="37" spans="1:6" x14ac:dyDescent="0.25">
      <c r="A37">
        <v>36</v>
      </c>
      <c r="B37" t="s">
        <v>1605</v>
      </c>
      <c r="C37" t="s">
        <v>1606</v>
      </c>
      <c r="D37">
        <v>13</v>
      </c>
      <c r="E37">
        <v>36</v>
      </c>
      <c r="F37">
        <v>56</v>
      </c>
    </row>
    <row r="38" spans="1:6" x14ac:dyDescent="0.25">
      <c r="A38">
        <v>37</v>
      </c>
      <c r="B38" t="s">
        <v>1609</v>
      </c>
      <c r="C38" t="s">
        <v>1610</v>
      </c>
      <c r="D38">
        <v>2</v>
      </c>
      <c r="E38">
        <v>38</v>
      </c>
      <c r="F38">
        <v>140</v>
      </c>
    </row>
    <row r="39" spans="1:6" x14ac:dyDescent="0.25">
      <c r="A39">
        <v>38</v>
      </c>
      <c r="B39" t="s">
        <v>1604</v>
      </c>
      <c r="C39" t="s">
        <v>266</v>
      </c>
      <c r="D39">
        <v>34</v>
      </c>
      <c r="E39">
        <v>34</v>
      </c>
      <c r="F39">
        <v>21</v>
      </c>
    </row>
    <row r="40" spans="1:6" x14ac:dyDescent="0.25">
      <c r="A40">
        <v>39</v>
      </c>
      <c r="B40" t="s">
        <v>1625</v>
      </c>
      <c r="C40" t="s">
        <v>1285</v>
      </c>
      <c r="D40">
        <v>12</v>
      </c>
      <c r="E40">
        <v>45</v>
      </c>
      <c r="F40">
        <v>56</v>
      </c>
    </row>
    <row r="41" spans="1:6" x14ac:dyDescent="0.25">
      <c r="A41">
        <v>40</v>
      </c>
      <c r="B41" t="s">
        <v>744</v>
      </c>
      <c r="C41" t="s">
        <v>745</v>
      </c>
      <c r="D41">
        <v>11</v>
      </c>
      <c r="E41">
        <v>41</v>
      </c>
      <c r="F41">
        <v>203</v>
      </c>
    </row>
    <row r="42" spans="1:6" x14ac:dyDescent="0.25">
      <c r="A42">
        <v>41</v>
      </c>
      <c r="B42" t="s">
        <v>1626</v>
      </c>
      <c r="C42" t="s">
        <v>1627</v>
      </c>
      <c r="D42">
        <v>3</v>
      </c>
      <c r="E42">
        <v>42</v>
      </c>
      <c r="F42">
        <v>203</v>
      </c>
    </row>
    <row r="43" spans="1:6" x14ac:dyDescent="0.25">
      <c r="A43">
        <v>42</v>
      </c>
      <c r="B43" t="s">
        <v>1616</v>
      </c>
      <c r="C43" t="s">
        <v>1617</v>
      </c>
      <c r="D43">
        <v>6</v>
      </c>
      <c r="E43">
        <v>40</v>
      </c>
      <c r="F43">
        <v>182</v>
      </c>
    </row>
    <row r="44" spans="1:6" x14ac:dyDescent="0.25">
      <c r="A44">
        <v>43</v>
      </c>
      <c r="B44" t="s">
        <v>1618</v>
      </c>
      <c r="C44" t="s">
        <v>1619</v>
      </c>
      <c r="D44">
        <v>10</v>
      </c>
      <c r="E44">
        <v>43</v>
      </c>
      <c r="F44">
        <v>152</v>
      </c>
    </row>
    <row r="45" spans="1:6" x14ac:dyDescent="0.25">
      <c r="A45">
        <v>44</v>
      </c>
      <c r="B45" t="s">
        <v>1631</v>
      </c>
      <c r="C45" t="s">
        <v>1632</v>
      </c>
      <c r="D45">
        <v>19</v>
      </c>
      <c r="E45">
        <v>49</v>
      </c>
      <c r="F45">
        <v>203</v>
      </c>
    </row>
    <row r="46" spans="1:6" x14ac:dyDescent="0.25">
      <c r="A46">
        <v>45</v>
      </c>
      <c r="B46" t="s">
        <v>1628</v>
      </c>
      <c r="C46" t="s">
        <v>1629</v>
      </c>
      <c r="D46">
        <v>2</v>
      </c>
      <c r="E46">
        <v>47</v>
      </c>
      <c r="F46">
        <v>203</v>
      </c>
    </row>
    <row r="47" spans="1:6" x14ac:dyDescent="0.25">
      <c r="A47">
        <v>46</v>
      </c>
      <c r="B47" t="s">
        <v>1620</v>
      </c>
      <c r="C47" t="s">
        <v>1621</v>
      </c>
      <c r="D47">
        <v>10</v>
      </c>
      <c r="E47">
        <v>44</v>
      </c>
      <c r="F47">
        <v>203</v>
      </c>
    </row>
    <row r="48" spans="1:6" x14ac:dyDescent="0.25">
      <c r="A48">
        <v>47</v>
      </c>
      <c r="B48" t="s">
        <v>826</v>
      </c>
      <c r="C48" t="s">
        <v>827</v>
      </c>
      <c r="D48">
        <v>21</v>
      </c>
      <c r="E48">
        <v>48</v>
      </c>
      <c r="F48">
        <v>203</v>
      </c>
    </row>
    <row r="49" spans="1:6" x14ac:dyDescent="0.25">
      <c r="A49">
        <v>48</v>
      </c>
      <c r="B49" t="s">
        <v>1622</v>
      </c>
      <c r="C49" t="s">
        <v>1623</v>
      </c>
      <c r="D49">
        <v>43</v>
      </c>
      <c r="E49">
        <v>46</v>
      </c>
      <c r="F49">
        <v>165</v>
      </c>
    </row>
    <row r="50" spans="1:6" x14ac:dyDescent="0.25">
      <c r="A50">
        <v>49</v>
      </c>
      <c r="B50" t="s">
        <v>1638</v>
      </c>
      <c r="C50" t="s">
        <v>1639</v>
      </c>
      <c r="D50">
        <v>6</v>
      </c>
      <c r="E50">
        <v>57</v>
      </c>
      <c r="F50">
        <v>203</v>
      </c>
    </row>
    <row r="51" spans="1:6" x14ac:dyDescent="0.25">
      <c r="A51">
        <v>50</v>
      </c>
      <c r="B51" t="s">
        <v>1083</v>
      </c>
      <c r="C51" t="s">
        <v>1063</v>
      </c>
      <c r="D51">
        <v>27</v>
      </c>
      <c r="E51">
        <v>27</v>
      </c>
      <c r="F51">
        <v>191</v>
      </c>
    </row>
    <row r="52" spans="1:6" x14ac:dyDescent="0.25">
      <c r="A52">
        <v>51</v>
      </c>
      <c r="B52" t="s">
        <v>1633</v>
      </c>
      <c r="C52" t="s">
        <v>107</v>
      </c>
      <c r="D52">
        <v>18</v>
      </c>
      <c r="E52">
        <v>50</v>
      </c>
      <c r="F52">
        <v>30</v>
      </c>
    </row>
    <row r="53" spans="1:6" x14ac:dyDescent="0.25">
      <c r="A53">
        <v>52</v>
      </c>
      <c r="B53" t="s">
        <v>1084</v>
      </c>
      <c r="C53" t="s">
        <v>1059</v>
      </c>
      <c r="D53">
        <v>6</v>
      </c>
      <c r="E53">
        <v>51</v>
      </c>
      <c r="F53">
        <v>203</v>
      </c>
    </row>
    <row r="54" spans="1:6" x14ac:dyDescent="0.25">
      <c r="A54">
        <v>53</v>
      </c>
      <c r="B54" t="s">
        <v>1656</v>
      </c>
      <c r="C54" t="s">
        <v>1220</v>
      </c>
      <c r="D54">
        <v>53</v>
      </c>
      <c r="E54">
        <v>63</v>
      </c>
      <c r="F54">
        <v>147</v>
      </c>
    </row>
    <row r="55" spans="1:6" x14ac:dyDescent="0.25">
      <c r="A55">
        <v>54</v>
      </c>
      <c r="B55" t="s">
        <v>1636</v>
      </c>
      <c r="C55" t="s">
        <v>1637</v>
      </c>
      <c r="D55">
        <v>14</v>
      </c>
      <c r="E55">
        <v>55</v>
      </c>
      <c r="F55">
        <v>203</v>
      </c>
    </row>
    <row r="56" spans="1:6" x14ac:dyDescent="0.25">
      <c r="A56">
        <v>55</v>
      </c>
      <c r="B56" t="s">
        <v>1640</v>
      </c>
      <c r="C56" t="s">
        <v>1641</v>
      </c>
      <c r="D56">
        <v>5</v>
      </c>
      <c r="E56">
        <v>54</v>
      </c>
      <c r="F56">
        <v>170</v>
      </c>
    </row>
    <row r="57" spans="1:6" x14ac:dyDescent="0.25">
      <c r="A57">
        <v>56</v>
      </c>
      <c r="B57" t="s">
        <v>1634</v>
      </c>
      <c r="C57" t="s">
        <v>1635</v>
      </c>
      <c r="D57">
        <v>9</v>
      </c>
      <c r="E57">
        <v>53</v>
      </c>
      <c r="F57">
        <v>203</v>
      </c>
    </row>
    <row r="58" spans="1:6" x14ac:dyDescent="0.25">
      <c r="A58">
        <v>57</v>
      </c>
      <c r="B58" t="s">
        <v>1652</v>
      </c>
      <c r="C58" t="s">
        <v>1653</v>
      </c>
      <c r="D58">
        <v>1</v>
      </c>
      <c r="E58">
        <v>59</v>
      </c>
      <c r="F58">
        <v>203</v>
      </c>
    </row>
    <row r="59" spans="1:6" x14ac:dyDescent="0.25">
      <c r="A59">
        <v>58</v>
      </c>
      <c r="B59" t="s">
        <v>1650</v>
      </c>
      <c r="C59" t="s">
        <v>1651</v>
      </c>
      <c r="D59">
        <v>2</v>
      </c>
      <c r="E59">
        <v>61</v>
      </c>
      <c r="F59">
        <v>203</v>
      </c>
    </row>
    <row r="60" spans="1:6" x14ac:dyDescent="0.25">
      <c r="A60">
        <v>59</v>
      </c>
      <c r="B60" t="s">
        <v>724</v>
      </c>
      <c r="C60" t="s">
        <v>725</v>
      </c>
      <c r="D60">
        <v>2</v>
      </c>
      <c r="E60">
        <v>58</v>
      </c>
      <c r="F60">
        <v>203</v>
      </c>
    </row>
    <row r="61" spans="1:6" x14ac:dyDescent="0.25">
      <c r="A61">
        <v>60</v>
      </c>
      <c r="B61" t="s">
        <v>1642</v>
      </c>
      <c r="C61" t="s">
        <v>1643</v>
      </c>
      <c r="D61">
        <v>23</v>
      </c>
      <c r="E61">
        <v>60</v>
      </c>
      <c r="F61">
        <v>178</v>
      </c>
    </row>
    <row r="62" spans="1:6" x14ac:dyDescent="0.25">
      <c r="A62">
        <v>61</v>
      </c>
      <c r="B62" t="s">
        <v>813</v>
      </c>
      <c r="C62" t="s">
        <v>814</v>
      </c>
      <c r="D62">
        <v>30</v>
      </c>
      <c r="E62">
        <v>56</v>
      </c>
      <c r="F62">
        <v>203</v>
      </c>
    </row>
    <row r="63" spans="1:6" x14ac:dyDescent="0.25">
      <c r="A63">
        <v>62</v>
      </c>
      <c r="B63" t="s">
        <v>830</v>
      </c>
      <c r="C63" t="s">
        <v>831</v>
      </c>
      <c r="D63">
        <v>23</v>
      </c>
      <c r="E63">
        <v>62</v>
      </c>
      <c r="F63">
        <v>203</v>
      </c>
    </row>
    <row r="64" spans="1:6" x14ac:dyDescent="0.25">
      <c r="A64">
        <v>63</v>
      </c>
      <c r="B64" t="s">
        <v>1657</v>
      </c>
      <c r="C64" t="s">
        <v>1658</v>
      </c>
      <c r="D64">
        <v>63</v>
      </c>
      <c r="E64">
        <v>74</v>
      </c>
      <c r="F64">
        <v>43</v>
      </c>
    </row>
    <row r="65" spans="1:6" x14ac:dyDescent="0.25">
      <c r="A65">
        <v>64</v>
      </c>
      <c r="B65" t="s">
        <v>789</v>
      </c>
      <c r="C65" t="s">
        <v>790</v>
      </c>
      <c r="D65">
        <v>11</v>
      </c>
      <c r="E65">
        <v>64</v>
      </c>
      <c r="F65">
        <v>203</v>
      </c>
    </row>
    <row r="66" spans="1:6" x14ac:dyDescent="0.25">
      <c r="A66">
        <v>65</v>
      </c>
      <c r="B66" t="s">
        <v>1644</v>
      </c>
      <c r="C66" t="s">
        <v>1645</v>
      </c>
      <c r="D66">
        <v>53</v>
      </c>
      <c r="E66">
        <v>65</v>
      </c>
      <c r="F66">
        <v>197</v>
      </c>
    </row>
    <row r="67" spans="1:6" x14ac:dyDescent="0.25">
      <c r="A67">
        <v>66</v>
      </c>
      <c r="B67" t="s">
        <v>840</v>
      </c>
      <c r="C67" t="s">
        <v>841</v>
      </c>
      <c r="D67">
        <v>10</v>
      </c>
      <c r="E67">
        <v>70</v>
      </c>
      <c r="F67">
        <v>203</v>
      </c>
    </row>
    <row r="68" spans="1:6" x14ac:dyDescent="0.25">
      <c r="A68">
        <v>67</v>
      </c>
      <c r="B68" t="s">
        <v>859</v>
      </c>
      <c r="C68" t="s">
        <v>495</v>
      </c>
      <c r="D68">
        <v>8</v>
      </c>
      <c r="E68">
        <v>68</v>
      </c>
      <c r="F68">
        <v>203</v>
      </c>
    </row>
    <row r="69" spans="1:6" x14ac:dyDescent="0.25">
      <c r="A69">
        <v>68</v>
      </c>
      <c r="B69" t="s">
        <v>1646</v>
      </c>
      <c r="C69" t="s">
        <v>1647</v>
      </c>
      <c r="D69">
        <v>63</v>
      </c>
      <c r="E69">
        <v>66</v>
      </c>
      <c r="F69">
        <v>10</v>
      </c>
    </row>
    <row r="70" spans="1:6" x14ac:dyDescent="0.25">
      <c r="A70">
        <v>69</v>
      </c>
      <c r="B70" t="s">
        <v>529</v>
      </c>
      <c r="C70" t="s">
        <v>43</v>
      </c>
      <c r="D70">
        <v>55</v>
      </c>
      <c r="E70">
        <v>69</v>
      </c>
      <c r="F70">
        <v>203</v>
      </c>
    </row>
    <row r="71" spans="1:6" x14ac:dyDescent="0.25">
      <c r="A71">
        <v>70</v>
      </c>
      <c r="B71" t="s">
        <v>686</v>
      </c>
      <c r="C71" t="s">
        <v>687</v>
      </c>
      <c r="D71">
        <v>2</v>
      </c>
      <c r="E71">
        <v>71</v>
      </c>
      <c r="F71">
        <v>203</v>
      </c>
    </row>
    <row r="72" spans="1:6" x14ac:dyDescent="0.25">
      <c r="A72">
        <v>71</v>
      </c>
      <c r="B72" t="s">
        <v>1668</v>
      </c>
      <c r="C72" t="s">
        <v>1669</v>
      </c>
      <c r="D72">
        <v>58</v>
      </c>
      <c r="E72">
        <v>83</v>
      </c>
      <c r="F72">
        <v>10</v>
      </c>
    </row>
    <row r="73" spans="1:6" x14ac:dyDescent="0.25">
      <c r="A73">
        <v>72</v>
      </c>
      <c r="B73" t="s">
        <v>1654</v>
      </c>
      <c r="C73" t="s">
        <v>1655</v>
      </c>
      <c r="D73">
        <v>5</v>
      </c>
      <c r="E73">
        <v>72</v>
      </c>
      <c r="F73">
        <v>203</v>
      </c>
    </row>
    <row r="74" spans="1:6" x14ac:dyDescent="0.25">
      <c r="A74">
        <v>73</v>
      </c>
      <c r="B74" t="s">
        <v>1670</v>
      </c>
      <c r="C74" t="s">
        <v>1671</v>
      </c>
      <c r="D74">
        <v>8</v>
      </c>
      <c r="E74">
        <v>75</v>
      </c>
      <c r="F74">
        <v>56</v>
      </c>
    </row>
    <row r="75" spans="1:6" x14ac:dyDescent="0.25">
      <c r="A75">
        <v>74</v>
      </c>
      <c r="B75" t="s">
        <v>1660</v>
      </c>
      <c r="C75" t="s">
        <v>335</v>
      </c>
      <c r="D75">
        <v>28</v>
      </c>
      <c r="E75">
        <v>76</v>
      </c>
      <c r="F75">
        <v>84</v>
      </c>
    </row>
    <row r="76" spans="1:6" x14ac:dyDescent="0.25">
      <c r="A76">
        <v>75</v>
      </c>
      <c r="B76" t="s">
        <v>1666</v>
      </c>
      <c r="C76" t="s">
        <v>1350</v>
      </c>
      <c r="D76">
        <v>59</v>
      </c>
      <c r="E76">
        <v>81</v>
      </c>
      <c r="F76">
        <v>203</v>
      </c>
    </row>
    <row r="77" spans="1:6" x14ac:dyDescent="0.25">
      <c r="A77">
        <v>76</v>
      </c>
      <c r="B77" t="s">
        <v>1687</v>
      </c>
      <c r="C77" t="s">
        <v>1688</v>
      </c>
      <c r="D77">
        <v>34</v>
      </c>
      <c r="E77">
        <v>87</v>
      </c>
      <c r="F77">
        <v>134</v>
      </c>
    </row>
    <row r="78" spans="1:6" x14ac:dyDescent="0.25">
      <c r="A78">
        <v>77</v>
      </c>
      <c r="B78" t="s">
        <v>1747</v>
      </c>
      <c r="C78" t="s">
        <v>1748</v>
      </c>
      <c r="D78">
        <v>77</v>
      </c>
      <c r="E78">
        <v>107</v>
      </c>
      <c r="F78">
        <v>63</v>
      </c>
    </row>
    <row r="79" spans="1:6" x14ac:dyDescent="0.25">
      <c r="A79">
        <v>78</v>
      </c>
      <c r="B79" t="s">
        <v>1676</v>
      </c>
      <c r="C79" t="s">
        <v>1677</v>
      </c>
      <c r="D79">
        <v>48</v>
      </c>
      <c r="E79">
        <v>90</v>
      </c>
      <c r="F79">
        <v>177</v>
      </c>
    </row>
    <row r="80" spans="1:6" x14ac:dyDescent="0.25">
      <c r="A80">
        <v>79</v>
      </c>
      <c r="B80" t="s">
        <v>1664</v>
      </c>
      <c r="C80" t="s">
        <v>1665</v>
      </c>
      <c r="D80">
        <v>22</v>
      </c>
      <c r="E80">
        <v>79</v>
      </c>
      <c r="F80">
        <v>203</v>
      </c>
    </row>
    <row r="81" spans="1:6" x14ac:dyDescent="0.25">
      <c r="A81">
        <v>80</v>
      </c>
      <c r="B81" t="s">
        <v>530</v>
      </c>
      <c r="C81" t="s">
        <v>33</v>
      </c>
      <c r="D81">
        <v>77</v>
      </c>
      <c r="E81">
        <v>77</v>
      </c>
      <c r="F81">
        <v>17</v>
      </c>
    </row>
    <row r="82" spans="1:6" x14ac:dyDescent="0.25">
      <c r="A82">
        <v>81</v>
      </c>
      <c r="B82" t="s">
        <v>1672</v>
      </c>
      <c r="C82" t="s">
        <v>1673</v>
      </c>
      <c r="D82">
        <v>13</v>
      </c>
      <c r="E82">
        <v>89</v>
      </c>
      <c r="F82">
        <v>141</v>
      </c>
    </row>
    <row r="83" spans="1:6" x14ac:dyDescent="0.25">
      <c r="A83">
        <v>82</v>
      </c>
      <c r="B83" t="s">
        <v>1674</v>
      </c>
      <c r="C83" t="s">
        <v>1675</v>
      </c>
      <c r="D83">
        <v>2</v>
      </c>
      <c r="E83">
        <v>78</v>
      </c>
      <c r="F83">
        <v>203</v>
      </c>
    </row>
    <row r="84" spans="1:6" x14ac:dyDescent="0.25">
      <c r="A84">
        <v>83</v>
      </c>
      <c r="B84" t="s">
        <v>1659</v>
      </c>
      <c r="C84" t="s">
        <v>912</v>
      </c>
      <c r="D84">
        <v>21</v>
      </c>
      <c r="E84">
        <v>73</v>
      </c>
      <c r="F84">
        <v>73</v>
      </c>
    </row>
    <row r="85" spans="1:6" x14ac:dyDescent="0.25">
      <c r="A85">
        <v>84</v>
      </c>
      <c r="B85" t="s">
        <v>1689</v>
      </c>
      <c r="C85" t="s">
        <v>1690</v>
      </c>
      <c r="D85">
        <v>2</v>
      </c>
      <c r="E85">
        <v>88</v>
      </c>
      <c r="F85">
        <v>187</v>
      </c>
    </row>
    <row r="86" spans="1:6" x14ac:dyDescent="0.25">
      <c r="A86">
        <v>85</v>
      </c>
      <c r="B86" t="s">
        <v>1630</v>
      </c>
      <c r="C86" t="s">
        <v>1544</v>
      </c>
      <c r="D86">
        <v>52</v>
      </c>
      <c r="E86">
        <v>52</v>
      </c>
      <c r="F86">
        <v>67</v>
      </c>
    </row>
    <row r="87" spans="1:6" x14ac:dyDescent="0.25">
      <c r="A87">
        <v>86</v>
      </c>
      <c r="B87" t="s">
        <v>1707</v>
      </c>
      <c r="C87" t="s">
        <v>1142</v>
      </c>
      <c r="D87">
        <v>30</v>
      </c>
      <c r="E87">
        <v>95</v>
      </c>
      <c r="F87">
        <v>192</v>
      </c>
    </row>
    <row r="88" spans="1:6" x14ac:dyDescent="0.25">
      <c r="A88">
        <v>87</v>
      </c>
      <c r="B88" t="s">
        <v>1663</v>
      </c>
      <c r="C88" t="s">
        <v>1575</v>
      </c>
      <c r="D88">
        <v>41</v>
      </c>
      <c r="E88">
        <v>80</v>
      </c>
      <c r="F88">
        <v>203</v>
      </c>
    </row>
    <row r="89" spans="1:6" x14ac:dyDescent="0.25">
      <c r="A89">
        <v>88</v>
      </c>
      <c r="B89" t="s">
        <v>1661</v>
      </c>
      <c r="C89" t="s">
        <v>1662</v>
      </c>
      <c r="D89">
        <v>82</v>
      </c>
      <c r="E89">
        <v>82</v>
      </c>
      <c r="F89">
        <v>62</v>
      </c>
    </row>
    <row r="90" spans="1:6" x14ac:dyDescent="0.25">
      <c r="A90">
        <v>89</v>
      </c>
      <c r="B90" t="s">
        <v>1667</v>
      </c>
      <c r="C90" t="s">
        <v>1205</v>
      </c>
      <c r="D90">
        <v>73</v>
      </c>
      <c r="E90">
        <v>85</v>
      </c>
      <c r="F90">
        <v>188</v>
      </c>
    </row>
    <row r="91" spans="1:6" x14ac:dyDescent="0.25">
      <c r="A91">
        <v>90</v>
      </c>
      <c r="B91" t="s">
        <v>1678</v>
      </c>
      <c r="C91" t="s">
        <v>1679</v>
      </c>
      <c r="D91">
        <v>47</v>
      </c>
      <c r="E91">
        <v>92</v>
      </c>
      <c r="F91">
        <v>200</v>
      </c>
    </row>
    <row r="92" spans="1:6" x14ac:dyDescent="0.25">
      <c r="A92">
        <v>91</v>
      </c>
      <c r="B92" t="s">
        <v>3796</v>
      </c>
      <c r="C92" t="s">
        <v>3797</v>
      </c>
      <c r="D92">
        <v>48</v>
      </c>
      <c r="E92">
        <v>166</v>
      </c>
      <c r="F92">
        <v>92</v>
      </c>
    </row>
    <row r="93" spans="1:6" x14ac:dyDescent="0.25">
      <c r="A93">
        <v>92</v>
      </c>
      <c r="B93" t="s">
        <v>1694</v>
      </c>
      <c r="C93" t="s">
        <v>503</v>
      </c>
      <c r="D93">
        <v>87</v>
      </c>
      <c r="E93">
        <v>94</v>
      </c>
      <c r="F93">
        <v>11</v>
      </c>
    </row>
    <row r="94" spans="1:6" x14ac:dyDescent="0.25">
      <c r="A94">
        <v>93</v>
      </c>
      <c r="B94" t="s">
        <v>1692</v>
      </c>
      <c r="C94" t="s">
        <v>1693</v>
      </c>
      <c r="D94">
        <v>25</v>
      </c>
      <c r="E94">
        <v>84</v>
      </c>
      <c r="F94">
        <v>203</v>
      </c>
    </row>
    <row r="95" spans="1:6" x14ac:dyDescent="0.25">
      <c r="A95">
        <v>94</v>
      </c>
      <c r="B95" t="s">
        <v>1682</v>
      </c>
      <c r="C95" t="s">
        <v>1683</v>
      </c>
      <c r="D95">
        <v>44</v>
      </c>
      <c r="E95">
        <v>86</v>
      </c>
      <c r="F95">
        <v>126</v>
      </c>
    </row>
    <row r="96" spans="1:6" x14ac:dyDescent="0.25">
      <c r="A96">
        <v>95</v>
      </c>
      <c r="B96" t="s">
        <v>1723</v>
      </c>
      <c r="C96" t="s">
        <v>1282</v>
      </c>
      <c r="D96">
        <v>55</v>
      </c>
      <c r="E96">
        <v>98</v>
      </c>
      <c r="F96">
        <v>35</v>
      </c>
    </row>
    <row r="97" spans="1:6" x14ac:dyDescent="0.25">
      <c r="A97">
        <v>96</v>
      </c>
      <c r="B97" t="s">
        <v>1716</v>
      </c>
      <c r="C97" t="s">
        <v>1362</v>
      </c>
      <c r="D97">
        <v>60</v>
      </c>
      <c r="E97">
        <v>96</v>
      </c>
      <c r="F97">
        <v>168</v>
      </c>
    </row>
    <row r="98" spans="1:6" x14ac:dyDescent="0.25">
      <c r="A98">
        <v>97</v>
      </c>
      <c r="B98" t="s">
        <v>1714</v>
      </c>
      <c r="C98" t="s">
        <v>1715</v>
      </c>
      <c r="D98">
        <v>3</v>
      </c>
      <c r="E98">
        <v>101</v>
      </c>
      <c r="F98">
        <v>203</v>
      </c>
    </row>
    <row r="99" spans="1:6" x14ac:dyDescent="0.25">
      <c r="A99">
        <v>98</v>
      </c>
      <c r="B99" t="s">
        <v>1691</v>
      </c>
      <c r="C99" t="s">
        <v>1194</v>
      </c>
      <c r="D99">
        <v>38</v>
      </c>
      <c r="E99">
        <v>91</v>
      </c>
      <c r="F99">
        <v>119</v>
      </c>
    </row>
    <row r="100" spans="1:6" x14ac:dyDescent="0.25">
      <c r="A100">
        <v>99</v>
      </c>
      <c r="B100" t="s">
        <v>1680</v>
      </c>
      <c r="C100" t="s">
        <v>1681</v>
      </c>
      <c r="D100">
        <v>32</v>
      </c>
      <c r="E100">
        <v>97</v>
      </c>
      <c r="F100">
        <v>202</v>
      </c>
    </row>
    <row r="101" spans="1:6" x14ac:dyDescent="0.25">
      <c r="A101">
        <v>100</v>
      </c>
      <c r="B101" t="s">
        <v>1724</v>
      </c>
      <c r="C101" t="s">
        <v>1725</v>
      </c>
      <c r="D101">
        <v>1</v>
      </c>
      <c r="E101">
        <v>106</v>
      </c>
      <c r="F101">
        <v>203</v>
      </c>
    </row>
    <row r="102" spans="1:6" x14ac:dyDescent="0.25">
      <c r="A102">
        <v>101</v>
      </c>
      <c r="B102" t="s">
        <v>1807</v>
      </c>
      <c r="C102" t="s">
        <v>1320</v>
      </c>
      <c r="D102">
        <v>101</v>
      </c>
      <c r="E102">
        <v>135</v>
      </c>
      <c r="F102">
        <v>2</v>
      </c>
    </row>
    <row r="103" spans="1:6" x14ac:dyDescent="0.25">
      <c r="A103">
        <v>102</v>
      </c>
      <c r="B103" t="s">
        <v>1686</v>
      </c>
      <c r="C103" t="s">
        <v>381</v>
      </c>
      <c r="D103">
        <v>41</v>
      </c>
      <c r="E103">
        <v>93</v>
      </c>
      <c r="F103">
        <v>85</v>
      </c>
    </row>
    <row r="104" spans="1:6" x14ac:dyDescent="0.25">
      <c r="A104">
        <v>103</v>
      </c>
      <c r="B104" t="s">
        <v>1684</v>
      </c>
      <c r="C104" t="s">
        <v>1685</v>
      </c>
      <c r="D104">
        <v>38</v>
      </c>
      <c r="E104">
        <v>100</v>
      </c>
      <c r="F104">
        <v>203</v>
      </c>
    </row>
    <row r="105" spans="1:6" x14ac:dyDescent="0.25">
      <c r="A105">
        <v>104</v>
      </c>
      <c r="B105" t="s">
        <v>1719</v>
      </c>
      <c r="C105" t="s">
        <v>1720</v>
      </c>
      <c r="D105">
        <v>11</v>
      </c>
      <c r="E105">
        <v>104</v>
      </c>
      <c r="F105">
        <v>171</v>
      </c>
    </row>
    <row r="106" spans="1:6" x14ac:dyDescent="0.25">
      <c r="A106">
        <v>105</v>
      </c>
      <c r="B106" t="s">
        <v>1708</v>
      </c>
      <c r="C106" t="s">
        <v>1709</v>
      </c>
      <c r="D106">
        <v>41</v>
      </c>
      <c r="E106">
        <v>111</v>
      </c>
      <c r="F106">
        <v>89</v>
      </c>
    </row>
    <row r="107" spans="1:6" x14ac:dyDescent="0.25">
      <c r="A107">
        <v>106</v>
      </c>
      <c r="B107" t="s">
        <v>1740</v>
      </c>
      <c r="C107" t="s">
        <v>1741</v>
      </c>
      <c r="D107">
        <v>50</v>
      </c>
      <c r="E107">
        <v>103</v>
      </c>
      <c r="F107">
        <v>203</v>
      </c>
    </row>
    <row r="108" spans="1:6" x14ac:dyDescent="0.25">
      <c r="A108">
        <v>107</v>
      </c>
      <c r="B108" t="s">
        <v>1734</v>
      </c>
      <c r="C108" t="s">
        <v>1735</v>
      </c>
      <c r="D108">
        <v>3</v>
      </c>
      <c r="E108">
        <v>108</v>
      </c>
      <c r="F108">
        <v>203</v>
      </c>
    </row>
    <row r="109" spans="1:6" x14ac:dyDescent="0.25">
      <c r="A109">
        <v>108</v>
      </c>
      <c r="B109" t="s">
        <v>1774</v>
      </c>
      <c r="C109" t="s">
        <v>339</v>
      </c>
      <c r="D109">
        <v>35</v>
      </c>
      <c r="E109">
        <v>130</v>
      </c>
      <c r="F109">
        <v>203</v>
      </c>
    </row>
    <row r="110" spans="1:6" x14ac:dyDescent="0.25">
      <c r="A110">
        <v>109</v>
      </c>
      <c r="B110" t="s">
        <v>1726</v>
      </c>
      <c r="C110" t="s">
        <v>1190</v>
      </c>
      <c r="D110">
        <v>20</v>
      </c>
      <c r="E110">
        <v>99</v>
      </c>
      <c r="F110">
        <v>63</v>
      </c>
    </row>
    <row r="111" spans="1:6" x14ac:dyDescent="0.25">
      <c r="A111">
        <v>110</v>
      </c>
      <c r="B111" t="s">
        <v>1712</v>
      </c>
      <c r="C111" t="s">
        <v>1713</v>
      </c>
      <c r="D111">
        <v>38</v>
      </c>
      <c r="E111">
        <v>102</v>
      </c>
      <c r="F111">
        <v>202</v>
      </c>
    </row>
    <row r="112" spans="1:6" x14ac:dyDescent="0.25">
      <c r="A112">
        <v>111</v>
      </c>
      <c r="B112" t="s">
        <v>857</v>
      </c>
      <c r="C112" t="s">
        <v>858</v>
      </c>
      <c r="D112">
        <v>24</v>
      </c>
      <c r="E112">
        <v>116</v>
      </c>
      <c r="F112">
        <v>203</v>
      </c>
    </row>
    <row r="113" spans="1:6" x14ac:dyDescent="0.25">
      <c r="A113">
        <v>112</v>
      </c>
      <c r="B113" t="s">
        <v>1648</v>
      </c>
      <c r="C113" t="s">
        <v>1649</v>
      </c>
      <c r="D113">
        <v>67</v>
      </c>
      <c r="E113">
        <v>67</v>
      </c>
      <c r="F113">
        <v>21</v>
      </c>
    </row>
    <row r="114" spans="1:6" x14ac:dyDescent="0.25">
      <c r="A114">
        <v>113</v>
      </c>
      <c r="B114" t="s">
        <v>1727</v>
      </c>
      <c r="C114" t="s">
        <v>1728</v>
      </c>
      <c r="D114">
        <v>5</v>
      </c>
      <c r="E114">
        <v>105</v>
      </c>
      <c r="F114">
        <v>203</v>
      </c>
    </row>
    <row r="115" spans="1:6" x14ac:dyDescent="0.25">
      <c r="A115">
        <v>114</v>
      </c>
      <c r="B115" t="s">
        <v>1710</v>
      </c>
      <c r="C115" t="s">
        <v>1711</v>
      </c>
      <c r="D115">
        <v>29</v>
      </c>
      <c r="E115">
        <v>109</v>
      </c>
      <c r="F115">
        <v>203</v>
      </c>
    </row>
    <row r="116" spans="1:6" x14ac:dyDescent="0.25">
      <c r="A116">
        <v>115</v>
      </c>
      <c r="B116" t="s">
        <v>1729</v>
      </c>
      <c r="C116" t="s">
        <v>1730</v>
      </c>
      <c r="D116">
        <v>26</v>
      </c>
      <c r="E116">
        <v>124</v>
      </c>
      <c r="F116">
        <v>196</v>
      </c>
    </row>
    <row r="117" spans="1:6" x14ac:dyDescent="0.25">
      <c r="A117">
        <v>116</v>
      </c>
      <c r="B117" t="s">
        <v>1780</v>
      </c>
      <c r="C117" t="s">
        <v>1781</v>
      </c>
      <c r="D117">
        <v>28</v>
      </c>
      <c r="E117">
        <v>141</v>
      </c>
      <c r="F117">
        <v>199</v>
      </c>
    </row>
    <row r="118" spans="1:6" x14ac:dyDescent="0.25">
      <c r="A118">
        <v>117</v>
      </c>
      <c r="B118" t="s">
        <v>1703</v>
      </c>
      <c r="C118" t="s">
        <v>1704</v>
      </c>
      <c r="D118">
        <v>110</v>
      </c>
      <c r="E118">
        <v>117</v>
      </c>
      <c r="F118">
        <v>10</v>
      </c>
    </row>
    <row r="119" spans="1:6" x14ac:dyDescent="0.25">
      <c r="A119">
        <v>118</v>
      </c>
      <c r="B119" t="s">
        <v>1742</v>
      </c>
      <c r="C119" t="s">
        <v>1743</v>
      </c>
      <c r="D119">
        <v>13</v>
      </c>
      <c r="E119">
        <v>118</v>
      </c>
      <c r="F119">
        <v>163</v>
      </c>
    </row>
    <row r="120" spans="1:6" x14ac:dyDescent="0.25">
      <c r="A120">
        <v>119</v>
      </c>
      <c r="B120" t="s">
        <v>1695</v>
      </c>
      <c r="C120" t="s">
        <v>1696</v>
      </c>
      <c r="D120">
        <v>106</v>
      </c>
      <c r="E120">
        <v>112</v>
      </c>
      <c r="F120">
        <v>10</v>
      </c>
    </row>
    <row r="121" spans="1:6" x14ac:dyDescent="0.25">
      <c r="A121">
        <v>120</v>
      </c>
      <c r="B121" t="s">
        <v>1697</v>
      </c>
      <c r="C121" t="s">
        <v>1698</v>
      </c>
      <c r="D121">
        <v>107</v>
      </c>
      <c r="E121">
        <v>113</v>
      </c>
      <c r="F121">
        <v>10</v>
      </c>
    </row>
    <row r="122" spans="1:6" x14ac:dyDescent="0.25">
      <c r="A122">
        <v>121</v>
      </c>
      <c r="B122" t="s">
        <v>1699</v>
      </c>
      <c r="C122" t="s">
        <v>1700</v>
      </c>
      <c r="D122">
        <v>108</v>
      </c>
      <c r="E122">
        <v>114</v>
      </c>
      <c r="F122">
        <v>10</v>
      </c>
    </row>
    <row r="123" spans="1:6" x14ac:dyDescent="0.25">
      <c r="A123">
        <v>122</v>
      </c>
      <c r="B123" t="s">
        <v>1701</v>
      </c>
      <c r="C123" t="s">
        <v>1702</v>
      </c>
      <c r="D123">
        <v>109</v>
      </c>
      <c r="E123">
        <v>115</v>
      </c>
      <c r="F123">
        <v>10</v>
      </c>
    </row>
    <row r="124" spans="1:6" x14ac:dyDescent="0.25">
      <c r="A124">
        <v>123</v>
      </c>
      <c r="B124" t="s">
        <v>1731</v>
      </c>
      <c r="C124" t="s">
        <v>1732</v>
      </c>
      <c r="D124">
        <v>46</v>
      </c>
      <c r="E124">
        <v>122</v>
      </c>
      <c r="F124">
        <v>192</v>
      </c>
    </row>
    <row r="125" spans="1:6" x14ac:dyDescent="0.25">
      <c r="A125">
        <v>124</v>
      </c>
      <c r="B125" t="s">
        <v>1733</v>
      </c>
      <c r="C125" t="s">
        <v>499</v>
      </c>
      <c r="D125">
        <v>3</v>
      </c>
      <c r="E125">
        <v>121</v>
      </c>
      <c r="F125">
        <v>154</v>
      </c>
    </row>
    <row r="126" spans="1:6" x14ac:dyDescent="0.25">
      <c r="A126">
        <v>125</v>
      </c>
      <c r="B126" t="s">
        <v>1705</v>
      </c>
      <c r="C126" t="s">
        <v>1706</v>
      </c>
      <c r="D126">
        <v>98</v>
      </c>
      <c r="E126">
        <v>119</v>
      </c>
      <c r="F126">
        <v>203</v>
      </c>
    </row>
    <row r="127" spans="1:6" x14ac:dyDescent="0.25">
      <c r="A127">
        <v>126</v>
      </c>
      <c r="B127" t="s">
        <v>1717</v>
      </c>
      <c r="C127" t="s">
        <v>1718</v>
      </c>
      <c r="D127">
        <v>75</v>
      </c>
      <c r="E127">
        <v>110</v>
      </c>
      <c r="F127">
        <v>74</v>
      </c>
    </row>
    <row r="128" spans="1:6" x14ac:dyDescent="0.25">
      <c r="A128">
        <v>127</v>
      </c>
      <c r="B128" t="s">
        <v>1753</v>
      </c>
      <c r="C128" t="s">
        <v>1754</v>
      </c>
      <c r="D128">
        <v>70</v>
      </c>
      <c r="E128">
        <v>133</v>
      </c>
      <c r="F128">
        <v>203</v>
      </c>
    </row>
    <row r="129" spans="1:6" x14ac:dyDescent="0.25">
      <c r="A129">
        <v>128</v>
      </c>
      <c r="B129" t="s">
        <v>1759</v>
      </c>
      <c r="C129" t="s">
        <v>1760</v>
      </c>
      <c r="D129">
        <v>15</v>
      </c>
      <c r="E129">
        <v>125</v>
      </c>
      <c r="F129">
        <v>203</v>
      </c>
    </row>
    <row r="130" spans="1:6" x14ac:dyDescent="0.25">
      <c r="A130">
        <v>129</v>
      </c>
      <c r="B130" t="s">
        <v>1744</v>
      </c>
      <c r="C130" t="s">
        <v>1745</v>
      </c>
      <c r="D130">
        <v>20</v>
      </c>
      <c r="E130">
        <v>123</v>
      </c>
      <c r="F130">
        <v>203</v>
      </c>
    </row>
    <row r="131" spans="1:6" x14ac:dyDescent="0.25">
      <c r="A131">
        <v>130</v>
      </c>
      <c r="B131" t="s">
        <v>1746</v>
      </c>
      <c r="C131" t="s">
        <v>1309</v>
      </c>
      <c r="D131">
        <v>74</v>
      </c>
      <c r="E131">
        <v>126</v>
      </c>
      <c r="F131">
        <v>170</v>
      </c>
    </row>
    <row r="132" spans="1:6" x14ac:dyDescent="0.25">
      <c r="A132">
        <v>131</v>
      </c>
      <c r="B132" t="s">
        <v>1738</v>
      </c>
      <c r="C132" t="s">
        <v>1739</v>
      </c>
      <c r="D132">
        <v>33</v>
      </c>
      <c r="E132">
        <v>127</v>
      </c>
      <c r="F132">
        <v>203</v>
      </c>
    </row>
    <row r="133" spans="1:6" x14ac:dyDescent="0.25">
      <c r="A133">
        <v>132</v>
      </c>
      <c r="B133" t="s">
        <v>1763</v>
      </c>
      <c r="C133" t="s">
        <v>1398</v>
      </c>
      <c r="D133">
        <v>38</v>
      </c>
      <c r="E133">
        <v>132</v>
      </c>
      <c r="F133">
        <v>16</v>
      </c>
    </row>
    <row r="134" spans="1:6" x14ac:dyDescent="0.25">
      <c r="A134">
        <v>133</v>
      </c>
      <c r="B134" t="s">
        <v>1766</v>
      </c>
      <c r="C134" t="s">
        <v>1767</v>
      </c>
      <c r="D134">
        <v>89</v>
      </c>
      <c r="E134">
        <v>128</v>
      </c>
      <c r="F134">
        <v>41</v>
      </c>
    </row>
    <row r="135" spans="1:6" x14ac:dyDescent="0.25">
      <c r="A135">
        <v>134</v>
      </c>
      <c r="B135" t="s">
        <v>1751</v>
      </c>
      <c r="C135" t="s">
        <v>1752</v>
      </c>
      <c r="D135">
        <v>33</v>
      </c>
      <c r="E135">
        <v>129</v>
      </c>
      <c r="F135">
        <v>119</v>
      </c>
    </row>
    <row r="136" spans="1:6" x14ac:dyDescent="0.25">
      <c r="A136">
        <v>135</v>
      </c>
      <c r="B136" t="s">
        <v>1749</v>
      </c>
      <c r="C136" t="s">
        <v>1750</v>
      </c>
      <c r="D136">
        <v>41</v>
      </c>
      <c r="E136">
        <v>137</v>
      </c>
      <c r="F136">
        <v>128</v>
      </c>
    </row>
    <row r="137" spans="1:6" x14ac:dyDescent="0.25">
      <c r="A137">
        <v>136</v>
      </c>
      <c r="B137" t="s">
        <v>1755</v>
      </c>
      <c r="C137" t="s">
        <v>1756</v>
      </c>
      <c r="D137">
        <v>108</v>
      </c>
      <c r="E137">
        <v>139</v>
      </c>
      <c r="F137">
        <v>120</v>
      </c>
    </row>
    <row r="138" spans="1:6" x14ac:dyDescent="0.25">
      <c r="A138">
        <v>137</v>
      </c>
      <c r="B138" t="s">
        <v>1736</v>
      </c>
      <c r="C138" t="s">
        <v>1737</v>
      </c>
      <c r="D138">
        <v>110</v>
      </c>
      <c r="E138">
        <v>140</v>
      </c>
      <c r="F138">
        <v>49</v>
      </c>
    </row>
    <row r="139" spans="1:6" x14ac:dyDescent="0.25">
      <c r="A139">
        <v>138</v>
      </c>
      <c r="B139" t="s">
        <v>1779</v>
      </c>
      <c r="C139" t="s">
        <v>1391</v>
      </c>
      <c r="D139">
        <v>29</v>
      </c>
      <c r="E139">
        <v>131</v>
      </c>
      <c r="F139">
        <v>125</v>
      </c>
    </row>
    <row r="140" spans="1:6" x14ac:dyDescent="0.25">
      <c r="A140">
        <v>139</v>
      </c>
      <c r="B140" t="s">
        <v>1761</v>
      </c>
      <c r="C140" t="s">
        <v>1762</v>
      </c>
      <c r="D140">
        <v>84</v>
      </c>
      <c r="E140">
        <v>138</v>
      </c>
      <c r="F140">
        <v>93</v>
      </c>
    </row>
    <row r="141" spans="1:6" x14ac:dyDescent="0.25">
      <c r="A141">
        <v>140</v>
      </c>
      <c r="B141" t="s">
        <v>1801</v>
      </c>
      <c r="C141" t="s">
        <v>1802</v>
      </c>
      <c r="D141">
        <v>87</v>
      </c>
      <c r="E141">
        <v>153</v>
      </c>
      <c r="F141">
        <v>138</v>
      </c>
    </row>
    <row r="142" spans="1:6" x14ac:dyDescent="0.25">
      <c r="A142">
        <v>141</v>
      </c>
      <c r="B142" t="s">
        <v>1787</v>
      </c>
      <c r="C142" t="s">
        <v>1788</v>
      </c>
      <c r="D142">
        <v>41</v>
      </c>
      <c r="E142">
        <v>143</v>
      </c>
      <c r="F142">
        <v>203</v>
      </c>
    </row>
    <row r="143" spans="1:6" x14ac:dyDescent="0.25">
      <c r="A143">
        <v>142</v>
      </c>
      <c r="B143" t="s">
        <v>1789</v>
      </c>
      <c r="C143" t="s">
        <v>1301</v>
      </c>
      <c r="D143">
        <v>10</v>
      </c>
      <c r="E143">
        <v>148</v>
      </c>
      <c r="F143">
        <v>57</v>
      </c>
    </row>
    <row r="144" spans="1:6" x14ac:dyDescent="0.25">
      <c r="A144">
        <v>143</v>
      </c>
      <c r="B144" t="s">
        <v>1764</v>
      </c>
      <c r="C144" t="s">
        <v>1765</v>
      </c>
      <c r="D144">
        <v>119</v>
      </c>
      <c r="E144">
        <v>144</v>
      </c>
      <c r="F144">
        <v>94</v>
      </c>
    </row>
    <row r="145" spans="1:6" x14ac:dyDescent="0.25">
      <c r="A145">
        <v>144</v>
      </c>
      <c r="B145" t="s">
        <v>1770</v>
      </c>
      <c r="C145" t="s">
        <v>1771</v>
      </c>
      <c r="D145">
        <v>26</v>
      </c>
      <c r="E145">
        <v>136</v>
      </c>
      <c r="F145">
        <v>203</v>
      </c>
    </row>
    <row r="146" spans="1:6" x14ac:dyDescent="0.25">
      <c r="A146">
        <v>145</v>
      </c>
      <c r="B146" t="s">
        <v>1792</v>
      </c>
      <c r="C146" t="s">
        <v>1793</v>
      </c>
      <c r="D146">
        <v>53</v>
      </c>
      <c r="E146">
        <v>146</v>
      </c>
      <c r="F146">
        <v>191</v>
      </c>
    </row>
    <row r="147" spans="1:6" x14ac:dyDescent="0.25">
      <c r="A147">
        <v>146</v>
      </c>
      <c r="B147" t="s">
        <v>1772</v>
      </c>
      <c r="C147" t="s">
        <v>1773</v>
      </c>
      <c r="D147">
        <v>31</v>
      </c>
      <c r="E147">
        <v>134</v>
      </c>
      <c r="F147">
        <v>170</v>
      </c>
    </row>
    <row r="148" spans="1:6" x14ac:dyDescent="0.25">
      <c r="A148">
        <v>147</v>
      </c>
      <c r="B148" t="s">
        <v>728</v>
      </c>
      <c r="C148" t="s">
        <v>729</v>
      </c>
      <c r="D148">
        <v>147</v>
      </c>
      <c r="E148">
        <v>159</v>
      </c>
      <c r="F148">
        <v>4</v>
      </c>
    </row>
    <row r="149" spans="1:6" x14ac:dyDescent="0.25">
      <c r="A149">
        <v>148</v>
      </c>
      <c r="B149" t="s">
        <v>1815</v>
      </c>
      <c r="C149" t="s">
        <v>1816</v>
      </c>
      <c r="D149">
        <v>69</v>
      </c>
      <c r="E149">
        <v>158</v>
      </c>
      <c r="F149">
        <v>203</v>
      </c>
    </row>
    <row r="150" spans="1:6" x14ac:dyDescent="0.25">
      <c r="A150">
        <v>149</v>
      </c>
      <c r="B150" t="s">
        <v>1777</v>
      </c>
      <c r="C150" t="s">
        <v>1778</v>
      </c>
      <c r="D150">
        <v>22</v>
      </c>
      <c r="E150">
        <v>142</v>
      </c>
      <c r="F150">
        <v>150</v>
      </c>
    </row>
    <row r="151" spans="1:6" x14ac:dyDescent="0.25">
      <c r="A151">
        <v>150</v>
      </c>
      <c r="B151" t="s">
        <v>1797</v>
      </c>
      <c r="C151" t="s">
        <v>1798</v>
      </c>
      <c r="D151">
        <v>13</v>
      </c>
      <c r="E151">
        <v>147</v>
      </c>
      <c r="F151">
        <v>203</v>
      </c>
    </row>
    <row r="152" spans="1:6" x14ac:dyDescent="0.25">
      <c r="A152">
        <v>151</v>
      </c>
      <c r="B152" t="s">
        <v>1775</v>
      </c>
      <c r="C152" t="s">
        <v>1776</v>
      </c>
      <c r="D152">
        <v>49</v>
      </c>
      <c r="E152">
        <v>151</v>
      </c>
      <c r="F152">
        <v>173</v>
      </c>
    </row>
    <row r="153" spans="1:6" x14ac:dyDescent="0.25">
      <c r="A153">
        <v>152</v>
      </c>
      <c r="B153" t="s">
        <v>1782</v>
      </c>
      <c r="C153" t="s">
        <v>1493</v>
      </c>
      <c r="D153">
        <v>120</v>
      </c>
      <c r="E153">
        <v>152</v>
      </c>
      <c r="F153">
        <v>47</v>
      </c>
    </row>
    <row r="154" spans="1:6" x14ac:dyDescent="0.25">
      <c r="A154">
        <v>153</v>
      </c>
      <c r="B154" t="s">
        <v>1794</v>
      </c>
      <c r="C154" t="s">
        <v>1795</v>
      </c>
      <c r="D154">
        <v>6</v>
      </c>
      <c r="E154">
        <v>156</v>
      </c>
      <c r="F154">
        <v>203</v>
      </c>
    </row>
    <row r="155" spans="1:6" x14ac:dyDescent="0.25">
      <c r="A155">
        <v>154</v>
      </c>
      <c r="B155" t="s">
        <v>1790</v>
      </c>
      <c r="C155" t="s">
        <v>1462</v>
      </c>
      <c r="D155">
        <v>18</v>
      </c>
      <c r="E155">
        <v>149</v>
      </c>
      <c r="F155">
        <v>67</v>
      </c>
    </row>
    <row r="156" spans="1:6" x14ac:dyDescent="0.25">
      <c r="A156">
        <v>155</v>
      </c>
      <c r="B156" t="s">
        <v>1721</v>
      </c>
      <c r="C156" t="s">
        <v>1722</v>
      </c>
      <c r="D156">
        <v>120</v>
      </c>
      <c r="E156">
        <v>120</v>
      </c>
      <c r="F156">
        <v>35</v>
      </c>
    </row>
    <row r="157" spans="1:6" x14ac:dyDescent="0.25">
      <c r="A157">
        <v>156</v>
      </c>
      <c r="B157" t="s">
        <v>1808</v>
      </c>
      <c r="C157" t="s">
        <v>1434</v>
      </c>
      <c r="D157">
        <v>58</v>
      </c>
      <c r="E157">
        <v>161</v>
      </c>
      <c r="F157">
        <v>203</v>
      </c>
    </row>
    <row r="158" spans="1:6" x14ac:dyDescent="0.25">
      <c r="A158">
        <v>157</v>
      </c>
      <c r="B158" t="s">
        <v>1783</v>
      </c>
      <c r="C158" t="s">
        <v>1784</v>
      </c>
      <c r="D158">
        <v>108</v>
      </c>
      <c r="E158">
        <v>154</v>
      </c>
      <c r="F158">
        <v>90</v>
      </c>
    </row>
    <row r="159" spans="1:6" x14ac:dyDescent="0.25">
      <c r="A159">
        <v>158</v>
      </c>
      <c r="B159" t="s">
        <v>817</v>
      </c>
      <c r="C159" t="s">
        <v>818</v>
      </c>
      <c r="D159">
        <v>106</v>
      </c>
      <c r="E159">
        <v>188</v>
      </c>
      <c r="F159">
        <v>74</v>
      </c>
    </row>
    <row r="160" spans="1:6" x14ac:dyDescent="0.25">
      <c r="A160">
        <v>159</v>
      </c>
      <c r="B160" t="s">
        <v>1799</v>
      </c>
      <c r="C160" t="s">
        <v>1800</v>
      </c>
      <c r="D160">
        <v>114</v>
      </c>
      <c r="E160">
        <v>163</v>
      </c>
      <c r="F160">
        <v>104</v>
      </c>
    </row>
    <row r="161" spans="1:6" x14ac:dyDescent="0.25">
      <c r="A161">
        <v>160</v>
      </c>
      <c r="B161" t="s">
        <v>1836</v>
      </c>
      <c r="C161" t="s">
        <v>1837</v>
      </c>
      <c r="D161">
        <v>18</v>
      </c>
      <c r="E161">
        <v>164</v>
      </c>
      <c r="F161">
        <v>118</v>
      </c>
    </row>
    <row r="162" spans="1:6" x14ac:dyDescent="0.25">
      <c r="A162">
        <v>161</v>
      </c>
      <c r="B162" t="s">
        <v>1757</v>
      </c>
      <c r="C162" t="s">
        <v>1758</v>
      </c>
      <c r="D162">
        <v>72</v>
      </c>
      <c r="E162">
        <v>145</v>
      </c>
      <c r="F162">
        <v>52</v>
      </c>
    </row>
    <row r="163" spans="1:6" x14ac:dyDescent="0.25">
      <c r="A163">
        <v>162</v>
      </c>
      <c r="B163" t="s">
        <v>1785</v>
      </c>
      <c r="C163" t="s">
        <v>1786</v>
      </c>
      <c r="D163">
        <v>128</v>
      </c>
      <c r="E163">
        <v>157</v>
      </c>
      <c r="F163">
        <v>29</v>
      </c>
    </row>
    <row r="164" spans="1:6" x14ac:dyDescent="0.25">
      <c r="A164">
        <v>163</v>
      </c>
      <c r="B164" t="s">
        <v>1812</v>
      </c>
      <c r="C164" t="s">
        <v>1813</v>
      </c>
      <c r="D164">
        <v>99</v>
      </c>
      <c r="E164">
        <v>165</v>
      </c>
      <c r="F164">
        <v>198</v>
      </c>
    </row>
    <row r="165" spans="1:6" x14ac:dyDescent="0.25">
      <c r="A165">
        <v>164</v>
      </c>
      <c r="B165" t="s">
        <v>3794</v>
      </c>
      <c r="C165" t="s">
        <v>3795</v>
      </c>
      <c r="D165">
        <v>59</v>
      </c>
      <c r="E165">
        <v>197</v>
      </c>
      <c r="F165">
        <v>200</v>
      </c>
    </row>
    <row r="166" spans="1:6" x14ac:dyDescent="0.25">
      <c r="A166">
        <v>165</v>
      </c>
      <c r="B166" t="s">
        <v>1809</v>
      </c>
      <c r="C166" t="s">
        <v>1472</v>
      </c>
      <c r="D166">
        <v>51</v>
      </c>
      <c r="E166">
        <v>162</v>
      </c>
      <c r="F166">
        <v>203</v>
      </c>
    </row>
    <row r="167" spans="1:6" x14ac:dyDescent="0.25">
      <c r="A167">
        <v>166</v>
      </c>
      <c r="B167" t="s">
        <v>1803</v>
      </c>
      <c r="C167" t="s">
        <v>1804</v>
      </c>
      <c r="D167">
        <v>94</v>
      </c>
      <c r="E167">
        <v>173</v>
      </c>
      <c r="F167">
        <v>203</v>
      </c>
    </row>
    <row r="168" spans="1:6" x14ac:dyDescent="0.25">
      <c r="A168">
        <v>167</v>
      </c>
      <c r="B168" t="s">
        <v>1768</v>
      </c>
      <c r="C168" t="s">
        <v>1769</v>
      </c>
      <c r="D168">
        <v>70</v>
      </c>
      <c r="E168">
        <v>155</v>
      </c>
      <c r="F168">
        <v>7</v>
      </c>
    </row>
    <row r="169" spans="1:6" x14ac:dyDescent="0.25">
      <c r="A169">
        <v>168</v>
      </c>
      <c r="B169" t="s">
        <v>1819</v>
      </c>
      <c r="C169" t="s">
        <v>1820</v>
      </c>
      <c r="D169">
        <v>168</v>
      </c>
      <c r="E169">
        <v>170</v>
      </c>
      <c r="F169">
        <v>2</v>
      </c>
    </row>
    <row r="170" spans="1:6" x14ac:dyDescent="0.25">
      <c r="A170">
        <v>169</v>
      </c>
      <c r="B170" t="s">
        <v>1824</v>
      </c>
      <c r="C170" t="s">
        <v>1825</v>
      </c>
      <c r="D170">
        <v>12</v>
      </c>
      <c r="E170">
        <v>167</v>
      </c>
      <c r="F170">
        <v>203</v>
      </c>
    </row>
    <row r="171" spans="1:6" x14ac:dyDescent="0.25">
      <c r="A171">
        <v>170</v>
      </c>
      <c r="B171" t="s">
        <v>3923</v>
      </c>
      <c r="C171" t="s">
        <v>3924</v>
      </c>
      <c r="D171">
        <v>170</v>
      </c>
      <c r="E171">
        <v>-1</v>
      </c>
      <c r="F171">
        <v>3</v>
      </c>
    </row>
    <row r="172" spans="1:6" x14ac:dyDescent="0.25">
      <c r="A172">
        <v>171</v>
      </c>
      <c r="B172" t="s">
        <v>1977</v>
      </c>
      <c r="C172" t="s">
        <v>1978</v>
      </c>
      <c r="D172">
        <v>24</v>
      </c>
      <c r="E172">
        <v>176</v>
      </c>
      <c r="F172">
        <v>203</v>
      </c>
    </row>
    <row r="173" spans="1:6" x14ac:dyDescent="0.25">
      <c r="A173">
        <v>172</v>
      </c>
      <c r="B173" t="s">
        <v>1810</v>
      </c>
      <c r="C173" t="s">
        <v>1811</v>
      </c>
      <c r="D173">
        <v>8</v>
      </c>
      <c r="E173">
        <v>172</v>
      </c>
      <c r="F173">
        <v>92</v>
      </c>
    </row>
    <row r="174" spans="1:6" x14ac:dyDescent="0.25">
      <c r="A174">
        <v>173</v>
      </c>
      <c r="B174" t="s">
        <v>1814</v>
      </c>
      <c r="C174" t="s">
        <v>1563</v>
      </c>
      <c r="D174">
        <v>2</v>
      </c>
      <c r="E174">
        <v>160</v>
      </c>
      <c r="F174">
        <v>203</v>
      </c>
    </row>
    <row r="175" spans="1:6" x14ac:dyDescent="0.25">
      <c r="A175">
        <v>174</v>
      </c>
      <c r="B175" t="s">
        <v>1850</v>
      </c>
      <c r="C175" t="s">
        <v>1851</v>
      </c>
      <c r="D175">
        <v>6</v>
      </c>
      <c r="E175">
        <v>179</v>
      </c>
      <c r="F175">
        <v>200</v>
      </c>
    </row>
    <row r="176" spans="1:6" x14ac:dyDescent="0.25">
      <c r="A176">
        <v>175</v>
      </c>
      <c r="B176" t="s">
        <v>1826</v>
      </c>
      <c r="C176" t="s">
        <v>1827</v>
      </c>
      <c r="D176">
        <v>175</v>
      </c>
      <c r="E176">
        <v>177</v>
      </c>
      <c r="F176">
        <v>6</v>
      </c>
    </row>
    <row r="177" spans="1:6" x14ac:dyDescent="0.25">
      <c r="A177">
        <v>176</v>
      </c>
      <c r="B177" t="s">
        <v>1817</v>
      </c>
      <c r="C177" t="s">
        <v>1818</v>
      </c>
      <c r="D177">
        <v>45</v>
      </c>
      <c r="E177">
        <v>168</v>
      </c>
      <c r="F177">
        <v>203</v>
      </c>
    </row>
    <row r="178" spans="1:6" x14ac:dyDescent="0.25">
      <c r="A178">
        <v>177</v>
      </c>
      <c r="B178" t="s">
        <v>1796</v>
      </c>
      <c r="C178" t="s">
        <v>1235</v>
      </c>
      <c r="D178">
        <v>150</v>
      </c>
      <c r="E178">
        <v>169</v>
      </c>
      <c r="F178">
        <v>11</v>
      </c>
    </row>
    <row r="179" spans="1:6" x14ac:dyDescent="0.25">
      <c r="A179">
        <v>178</v>
      </c>
      <c r="B179" t="s">
        <v>1840</v>
      </c>
      <c r="C179" t="s">
        <v>1841</v>
      </c>
      <c r="D179">
        <v>71</v>
      </c>
      <c r="E179">
        <v>171</v>
      </c>
      <c r="F179">
        <v>192</v>
      </c>
    </row>
    <row r="180" spans="1:6" x14ac:dyDescent="0.25">
      <c r="A180">
        <v>179</v>
      </c>
      <c r="B180" t="s">
        <v>1791</v>
      </c>
      <c r="C180" t="s">
        <v>1014</v>
      </c>
      <c r="D180">
        <v>54</v>
      </c>
      <c r="E180">
        <v>150</v>
      </c>
      <c r="F180">
        <v>72</v>
      </c>
    </row>
    <row r="181" spans="1:6" x14ac:dyDescent="0.25">
      <c r="A181">
        <v>180</v>
      </c>
      <c r="B181" t="s">
        <v>531</v>
      </c>
      <c r="C181" t="s">
        <v>46</v>
      </c>
      <c r="D181">
        <v>156</v>
      </c>
      <c r="E181">
        <v>174</v>
      </c>
      <c r="F181">
        <v>30</v>
      </c>
    </row>
    <row r="182" spans="1:6" x14ac:dyDescent="0.25">
      <c r="A182">
        <v>181</v>
      </c>
      <c r="B182" t="s">
        <v>1834</v>
      </c>
      <c r="C182" t="s">
        <v>1835</v>
      </c>
      <c r="D182">
        <v>102</v>
      </c>
      <c r="E182">
        <v>189</v>
      </c>
      <c r="F182">
        <v>173</v>
      </c>
    </row>
    <row r="183" spans="1:6" x14ac:dyDescent="0.25">
      <c r="A183">
        <v>182</v>
      </c>
      <c r="B183" t="s">
        <v>1846</v>
      </c>
      <c r="C183" t="s">
        <v>1847</v>
      </c>
      <c r="D183">
        <v>76</v>
      </c>
      <c r="E183">
        <v>195</v>
      </c>
      <c r="F183">
        <v>64</v>
      </c>
    </row>
    <row r="184" spans="1:6" x14ac:dyDescent="0.25">
      <c r="A184">
        <v>183</v>
      </c>
      <c r="B184" t="s">
        <v>1832</v>
      </c>
      <c r="C184" t="s">
        <v>1833</v>
      </c>
      <c r="D184">
        <v>24</v>
      </c>
      <c r="E184">
        <v>182</v>
      </c>
      <c r="F184">
        <v>127</v>
      </c>
    </row>
    <row r="185" spans="1:6" x14ac:dyDescent="0.25">
      <c r="A185">
        <v>184</v>
      </c>
      <c r="B185" t="s">
        <v>1979</v>
      </c>
      <c r="C185" t="s">
        <v>1980</v>
      </c>
      <c r="D185">
        <v>19</v>
      </c>
      <c r="E185">
        <v>190</v>
      </c>
      <c r="F185">
        <v>183</v>
      </c>
    </row>
    <row r="186" spans="1:6" x14ac:dyDescent="0.25">
      <c r="A186">
        <v>185</v>
      </c>
      <c r="B186" t="s">
        <v>1842</v>
      </c>
      <c r="C186" t="s">
        <v>1843</v>
      </c>
      <c r="D186">
        <v>5</v>
      </c>
      <c r="E186">
        <v>175</v>
      </c>
      <c r="F186">
        <v>118</v>
      </c>
    </row>
    <row r="187" spans="1:6" x14ac:dyDescent="0.25">
      <c r="A187">
        <v>186</v>
      </c>
      <c r="B187" t="s">
        <v>1974</v>
      </c>
      <c r="C187" t="s">
        <v>1975</v>
      </c>
      <c r="D187">
        <v>34</v>
      </c>
      <c r="E187">
        <v>192</v>
      </c>
      <c r="F187">
        <v>202</v>
      </c>
    </row>
    <row r="188" spans="1:6" x14ac:dyDescent="0.25">
      <c r="A188">
        <v>187</v>
      </c>
      <c r="B188" t="s">
        <v>1976</v>
      </c>
      <c r="C188" t="s">
        <v>1516</v>
      </c>
      <c r="D188">
        <v>95</v>
      </c>
      <c r="E188">
        <v>191</v>
      </c>
      <c r="F188">
        <v>62</v>
      </c>
    </row>
    <row r="189" spans="1:6" x14ac:dyDescent="0.25">
      <c r="A189">
        <v>188</v>
      </c>
      <c r="B189" t="s">
        <v>1821</v>
      </c>
      <c r="C189" t="s">
        <v>1822</v>
      </c>
      <c r="D189">
        <v>39</v>
      </c>
      <c r="E189">
        <v>200</v>
      </c>
      <c r="F189">
        <v>161</v>
      </c>
    </row>
    <row r="190" spans="1:6" x14ac:dyDescent="0.25">
      <c r="A190">
        <v>189</v>
      </c>
      <c r="B190" t="s">
        <v>1828</v>
      </c>
      <c r="C190" t="s">
        <v>1829</v>
      </c>
      <c r="D190">
        <v>9</v>
      </c>
      <c r="E190">
        <v>180</v>
      </c>
      <c r="F190">
        <v>203</v>
      </c>
    </row>
    <row r="191" spans="1:6" x14ac:dyDescent="0.25">
      <c r="A191">
        <v>190</v>
      </c>
      <c r="B191" t="s">
        <v>1830</v>
      </c>
      <c r="C191" t="s">
        <v>1831</v>
      </c>
      <c r="D191">
        <v>22</v>
      </c>
      <c r="E191">
        <v>194</v>
      </c>
      <c r="F191">
        <v>203</v>
      </c>
    </row>
    <row r="192" spans="1:6" x14ac:dyDescent="0.25">
      <c r="A192">
        <v>191</v>
      </c>
      <c r="B192" t="s">
        <v>1844</v>
      </c>
      <c r="C192" t="s">
        <v>1845</v>
      </c>
      <c r="D192">
        <v>44</v>
      </c>
      <c r="E192">
        <v>186</v>
      </c>
      <c r="F192">
        <v>110</v>
      </c>
    </row>
    <row r="193" spans="1:6" x14ac:dyDescent="0.25">
      <c r="A193">
        <v>192</v>
      </c>
      <c r="B193" t="s">
        <v>536</v>
      </c>
      <c r="C193" t="s">
        <v>152</v>
      </c>
      <c r="D193">
        <v>86</v>
      </c>
      <c r="E193">
        <v>-1</v>
      </c>
      <c r="F193">
        <v>99</v>
      </c>
    </row>
    <row r="194" spans="1:6" x14ac:dyDescent="0.25">
      <c r="A194">
        <v>193</v>
      </c>
      <c r="B194" t="s">
        <v>1823</v>
      </c>
      <c r="C194" t="s">
        <v>1540</v>
      </c>
      <c r="D194">
        <v>178</v>
      </c>
      <c r="E194">
        <v>178</v>
      </c>
      <c r="F194">
        <v>2</v>
      </c>
    </row>
    <row r="195" spans="1:6" x14ac:dyDescent="0.25">
      <c r="A195">
        <v>194</v>
      </c>
      <c r="B195" t="s">
        <v>1805</v>
      </c>
      <c r="C195" t="s">
        <v>1806</v>
      </c>
      <c r="D195">
        <v>67</v>
      </c>
      <c r="E195">
        <v>185</v>
      </c>
      <c r="F195">
        <v>99</v>
      </c>
    </row>
    <row r="196" spans="1:6" x14ac:dyDescent="0.25">
      <c r="A196">
        <v>195</v>
      </c>
      <c r="B196" t="s">
        <v>4579</v>
      </c>
      <c r="C196" t="s">
        <v>301</v>
      </c>
      <c r="D196">
        <v>52</v>
      </c>
      <c r="E196">
        <v>-1</v>
      </c>
      <c r="F196">
        <v>15</v>
      </c>
    </row>
    <row r="197" spans="1:6" x14ac:dyDescent="0.25">
      <c r="A197">
        <v>196</v>
      </c>
      <c r="B197" t="s">
        <v>4712</v>
      </c>
      <c r="C197" t="s">
        <v>4713</v>
      </c>
      <c r="D197">
        <v>128</v>
      </c>
      <c r="E197">
        <v>-1</v>
      </c>
      <c r="F197">
        <v>41</v>
      </c>
    </row>
    <row r="198" spans="1:6" x14ac:dyDescent="0.25">
      <c r="A198">
        <v>197</v>
      </c>
      <c r="B198" t="s">
        <v>4534</v>
      </c>
      <c r="C198" t="s">
        <v>4535</v>
      </c>
      <c r="D198">
        <v>36</v>
      </c>
      <c r="E198">
        <v>-1</v>
      </c>
      <c r="F198">
        <v>20</v>
      </c>
    </row>
    <row r="199" spans="1:6" x14ac:dyDescent="0.25">
      <c r="A199">
        <v>198</v>
      </c>
      <c r="B199" t="s">
        <v>532</v>
      </c>
      <c r="C199" t="s">
        <v>533</v>
      </c>
      <c r="D199">
        <v>80</v>
      </c>
      <c r="E199">
        <v>-1</v>
      </c>
      <c r="F199">
        <v>130</v>
      </c>
    </row>
    <row r="200" spans="1:6" x14ac:dyDescent="0.25">
      <c r="A200">
        <v>199</v>
      </c>
      <c r="B200" t="s">
        <v>1848</v>
      </c>
      <c r="C200" t="s">
        <v>1849</v>
      </c>
      <c r="D200">
        <v>28</v>
      </c>
      <c r="E200">
        <v>183</v>
      </c>
      <c r="F200">
        <v>131</v>
      </c>
    </row>
    <row r="201" spans="1:6" x14ac:dyDescent="0.25">
      <c r="A201">
        <v>200</v>
      </c>
      <c r="B201" t="s">
        <v>1838</v>
      </c>
      <c r="C201" t="s">
        <v>1839</v>
      </c>
      <c r="D201">
        <v>62</v>
      </c>
      <c r="E201">
        <v>187</v>
      </c>
      <c r="F201">
        <v>84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B0FE5-3603-4615-8BF1-469D9320FC61}">
  <sheetPr codeName="Planilha11"/>
  <dimension ref="A1:I201"/>
  <sheetViews>
    <sheetView showGridLines="0" topLeftCell="E1" zoomScale="90" zoomScaleNormal="90" workbookViewId="0">
      <selection activeCell="E7" sqref="E7"/>
    </sheetView>
  </sheetViews>
  <sheetFormatPr defaultRowHeight="15" x14ac:dyDescent="0.25"/>
  <cols>
    <col min="1" max="1" width="7.42578125" bestFit="1" customWidth="1"/>
    <col min="2" max="2" width="41.7109375" bestFit="1" customWidth="1"/>
    <col min="3" max="3" width="48.28515625" bestFit="1" customWidth="1"/>
    <col min="4" max="4" width="58.85546875" bestFit="1" customWidth="1"/>
    <col min="5" max="5" width="65.14062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1.5703125" style="3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1981</v>
      </c>
      <c r="E1" t="s">
        <v>4</v>
      </c>
      <c r="F1" t="s">
        <v>5</v>
      </c>
      <c r="G1" t="s">
        <v>6</v>
      </c>
      <c r="H1" t="s">
        <v>1956</v>
      </c>
      <c r="I1" s="3" t="s">
        <v>1108</v>
      </c>
    </row>
    <row r="2" spans="1:9" x14ac:dyDescent="0.25">
      <c r="A2">
        <v>1</v>
      </c>
      <c r="B2" t="s">
        <v>1982</v>
      </c>
      <c r="C2" t="s">
        <v>1983</v>
      </c>
      <c r="D2" t="s">
        <v>1984</v>
      </c>
      <c r="E2" t="s">
        <v>275</v>
      </c>
      <c r="F2">
        <v>1</v>
      </c>
      <c r="G2">
        <v>1</v>
      </c>
      <c r="H2">
        <v>10</v>
      </c>
      <c r="I2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3" spans="1:9" x14ac:dyDescent="0.25">
      <c r="A3">
        <v>2</v>
      </c>
      <c r="B3" t="s">
        <v>1985</v>
      </c>
      <c r="C3" t="s">
        <v>1159</v>
      </c>
      <c r="D3" t="s">
        <v>1986</v>
      </c>
      <c r="E3" t="s">
        <v>1161</v>
      </c>
      <c r="F3">
        <v>1</v>
      </c>
      <c r="G3">
        <v>2</v>
      </c>
      <c r="H3">
        <v>34</v>
      </c>
      <c r="I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" spans="1:9" x14ac:dyDescent="0.25">
      <c r="A4">
        <v>3</v>
      </c>
      <c r="B4" t="s">
        <v>4250</v>
      </c>
      <c r="C4" t="s">
        <v>266</v>
      </c>
      <c r="D4" t="s">
        <v>4251</v>
      </c>
      <c r="E4" t="s">
        <v>268</v>
      </c>
      <c r="F4">
        <v>3</v>
      </c>
      <c r="G4">
        <v>-1</v>
      </c>
      <c r="H4">
        <v>1</v>
      </c>
      <c r="I4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5" spans="1:9" x14ac:dyDescent="0.25">
      <c r="A5">
        <v>4</v>
      </c>
      <c r="B5" t="s">
        <v>1987</v>
      </c>
      <c r="C5" t="s">
        <v>107</v>
      </c>
      <c r="D5" t="s">
        <v>1988</v>
      </c>
      <c r="E5" t="s">
        <v>109</v>
      </c>
      <c r="F5">
        <v>3</v>
      </c>
      <c r="G5">
        <v>3</v>
      </c>
      <c r="H5">
        <v>15</v>
      </c>
      <c r="I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" spans="1:9" x14ac:dyDescent="0.25">
      <c r="A6">
        <v>5</v>
      </c>
      <c r="B6" t="s">
        <v>1989</v>
      </c>
      <c r="C6" t="s">
        <v>1590</v>
      </c>
      <c r="D6" t="s">
        <v>1990</v>
      </c>
      <c r="E6" t="s">
        <v>1360</v>
      </c>
      <c r="F6">
        <v>1</v>
      </c>
      <c r="G6">
        <v>4</v>
      </c>
      <c r="H6">
        <v>15</v>
      </c>
      <c r="I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" spans="1:9" x14ac:dyDescent="0.25">
      <c r="A7">
        <v>6</v>
      </c>
      <c r="B7" t="s">
        <v>1993</v>
      </c>
      <c r="C7" t="s">
        <v>481</v>
      </c>
      <c r="D7" t="s">
        <v>1994</v>
      </c>
      <c r="E7" t="s">
        <v>1120</v>
      </c>
      <c r="F7">
        <v>1</v>
      </c>
      <c r="G7">
        <v>6</v>
      </c>
      <c r="H7">
        <v>67</v>
      </c>
      <c r="I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" spans="1:9" x14ac:dyDescent="0.25">
      <c r="A8">
        <v>7</v>
      </c>
      <c r="B8" t="s">
        <v>1995</v>
      </c>
      <c r="C8" t="s">
        <v>1201</v>
      </c>
      <c r="D8" t="s">
        <v>1996</v>
      </c>
      <c r="E8" t="s">
        <v>1203</v>
      </c>
      <c r="F8">
        <v>4</v>
      </c>
      <c r="G8">
        <v>7</v>
      </c>
      <c r="H8">
        <v>15</v>
      </c>
      <c r="I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" spans="1:9" x14ac:dyDescent="0.25">
      <c r="A9">
        <v>8</v>
      </c>
      <c r="B9" t="s">
        <v>1999</v>
      </c>
      <c r="C9" t="s">
        <v>496</v>
      </c>
      <c r="D9" t="s">
        <v>2000</v>
      </c>
      <c r="E9" t="s">
        <v>1133</v>
      </c>
      <c r="F9">
        <v>1</v>
      </c>
      <c r="G9">
        <v>9</v>
      </c>
      <c r="H9">
        <v>53</v>
      </c>
      <c r="I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" spans="1:9" x14ac:dyDescent="0.25">
      <c r="A10">
        <v>9</v>
      </c>
      <c r="B10" t="s">
        <v>4252</v>
      </c>
      <c r="C10" t="s">
        <v>1063</v>
      </c>
      <c r="D10" t="s">
        <v>4253</v>
      </c>
      <c r="E10" t="s">
        <v>1065</v>
      </c>
      <c r="F10">
        <v>9</v>
      </c>
      <c r="G10">
        <v>-1</v>
      </c>
      <c r="H10">
        <v>1</v>
      </c>
      <c r="I10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11" spans="1:9" x14ac:dyDescent="0.25">
      <c r="A11">
        <v>10</v>
      </c>
      <c r="B11" t="s">
        <v>1997</v>
      </c>
      <c r="C11" t="s">
        <v>1177</v>
      </c>
      <c r="D11" t="s">
        <v>1998</v>
      </c>
      <c r="E11" t="s">
        <v>1179</v>
      </c>
      <c r="F11">
        <v>4</v>
      </c>
      <c r="G11">
        <v>8</v>
      </c>
      <c r="H11">
        <v>17</v>
      </c>
      <c r="I1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" spans="1:9" x14ac:dyDescent="0.25">
      <c r="A12">
        <v>11</v>
      </c>
      <c r="B12" t="s">
        <v>1991</v>
      </c>
      <c r="C12" t="s">
        <v>620</v>
      </c>
      <c r="D12" t="s">
        <v>1992</v>
      </c>
      <c r="E12" t="s">
        <v>1117</v>
      </c>
      <c r="F12">
        <v>1</v>
      </c>
      <c r="G12">
        <v>5</v>
      </c>
      <c r="H12">
        <v>7</v>
      </c>
      <c r="I1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" spans="1:9" x14ac:dyDescent="0.25">
      <c r="A13">
        <v>12</v>
      </c>
      <c r="B13" t="s">
        <v>2011</v>
      </c>
      <c r="C13" t="s">
        <v>573</v>
      </c>
      <c r="D13" t="s">
        <v>2012</v>
      </c>
      <c r="E13" t="s">
        <v>573</v>
      </c>
      <c r="F13">
        <v>1</v>
      </c>
      <c r="G13">
        <v>14</v>
      </c>
      <c r="H13">
        <v>71</v>
      </c>
      <c r="I1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" spans="1:9" x14ac:dyDescent="0.25">
      <c r="A14">
        <v>13</v>
      </c>
      <c r="B14" t="s">
        <v>2003</v>
      </c>
      <c r="C14" t="s">
        <v>107</v>
      </c>
      <c r="D14" t="s">
        <v>2004</v>
      </c>
      <c r="E14" t="s">
        <v>109</v>
      </c>
      <c r="F14">
        <v>10</v>
      </c>
      <c r="G14">
        <v>11</v>
      </c>
      <c r="H14">
        <v>35</v>
      </c>
      <c r="I1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" spans="1:9" x14ac:dyDescent="0.25">
      <c r="A15">
        <v>14</v>
      </c>
      <c r="B15" t="s">
        <v>2005</v>
      </c>
      <c r="C15" t="s">
        <v>1159</v>
      </c>
      <c r="D15" t="s">
        <v>2006</v>
      </c>
      <c r="E15" t="s">
        <v>2007</v>
      </c>
      <c r="F15">
        <v>1</v>
      </c>
      <c r="G15">
        <v>12</v>
      </c>
      <c r="H15">
        <v>173</v>
      </c>
      <c r="I1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" spans="1:9" x14ac:dyDescent="0.25">
      <c r="A16">
        <v>15</v>
      </c>
      <c r="B16" t="s">
        <v>2001</v>
      </c>
      <c r="C16" t="s">
        <v>1324</v>
      </c>
      <c r="D16" t="s">
        <v>2002</v>
      </c>
      <c r="E16" t="s">
        <v>1326</v>
      </c>
      <c r="F16">
        <v>1</v>
      </c>
      <c r="G16">
        <v>10</v>
      </c>
      <c r="H16">
        <v>10</v>
      </c>
      <c r="I1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" spans="1:9" x14ac:dyDescent="0.25">
      <c r="A17">
        <v>16</v>
      </c>
      <c r="B17" t="s">
        <v>2008</v>
      </c>
      <c r="C17" t="s">
        <v>1615</v>
      </c>
      <c r="D17" t="s">
        <v>2009</v>
      </c>
      <c r="E17" t="s">
        <v>2010</v>
      </c>
      <c r="F17">
        <v>1</v>
      </c>
      <c r="G17">
        <v>13</v>
      </c>
      <c r="H17">
        <v>36</v>
      </c>
      <c r="I1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" spans="1:9" x14ac:dyDescent="0.25">
      <c r="A18">
        <v>17</v>
      </c>
      <c r="B18" t="s">
        <v>4254</v>
      </c>
      <c r="C18" t="s">
        <v>1544</v>
      </c>
      <c r="D18" t="s">
        <v>4255</v>
      </c>
      <c r="E18" t="s">
        <v>1570</v>
      </c>
      <c r="F18">
        <v>17</v>
      </c>
      <c r="G18">
        <v>-1</v>
      </c>
      <c r="H18">
        <v>1</v>
      </c>
      <c r="I18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19" spans="1:9" x14ac:dyDescent="0.25">
      <c r="A19">
        <v>18</v>
      </c>
      <c r="B19" t="s">
        <v>2015</v>
      </c>
      <c r="C19" t="s">
        <v>573</v>
      </c>
      <c r="D19" t="s">
        <v>2016</v>
      </c>
      <c r="E19" t="s">
        <v>573</v>
      </c>
      <c r="F19">
        <v>9</v>
      </c>
      <c r="G19">
        <v>16</v>
      </c>
      <c r="H19">
        <v>255</v>
      </c>
      <c r="I1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" spans="1:9" x14ac:dyDescent="0.25">
      <c r="A20">
        <v>19</v>
      </c>
      <c r="B20" t="s">
        <v>2013</v>
      </c>
      <c r="C20" t="s">
        <v>573</v>
      </c>
      <c r="D20" t="s">
        <v>2014</v>
      </c>
      <c r="E20" t="s">
        <v>573</v>
      </c>
      <c r="F20">
        <v>1</v>
      </c>
      <c r="G20">
        <v>15</v>
      </c>
      <c r="H20">
        <v>255</v>
      </c>
      <c r="I2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1" spans="1:9" x14ac:dyDescent="0.25">
      <c r="A21">
        <v>20</v>
      </c>
      <c r="B21" t="s">
        <v>2017</v>
      </c>
      <c r="C21" t="s">
        <v>641</v>
      </c>
      <c r="D21" t="s">
        <v>2018</v>
      </c>
      <c r="E21" t="s">
        <v>232</v>
      </c>
      <c r="F21">
        <v>1</v>
      </c>
      <c r="G21">
        <v>17</v>
      </c>
      <c r="H21">
        <v>25</v>
      </c>
      <c r="I2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2" spans="1:9" x14ac:dyDescent="0.25">
      <c r="A22">
        <v>21</v>
      </c>
      <c r="B22" t="s">
        <v>2024</v>
      </c>
      <c r="C22" t="s">
        <v>1606</v>
      </c>
      <c r="D22" t="s">
        <v>2025</v>
      </c>
      <c r="E22" t="s">
        <v>1346</v>
      </c>
      <c r="F22">
        <v>6</v>
      </c>
      <c r="G22">
        <v>20</v>
      </c>
      <c r="H22">
        <v>28</v>
      </c>
      <c r="I2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3" spans="1:9" x14ac:dyDescent="0.25">
      <c r="A23">
        <v>22</v>
      </c>
      <c r="B23" t="s">
        <v>2019</v>
      </c>
      <c r="C23" t="s">
        <v>495</v>
      </c>
      <c r="D23" t="s">
        <v>2020</v>
      </c>
      <c r="E23" t="s">
        <v>1214</v>
      </c>
      <c r="F23">
        <v>10</v>
      </c>
      <c r="G23">
        <v>18</v>
      </c>
      <c r="H23">
        <v>255</v>
      </c>
      <c r="I2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4" spans="1:9" x14ac:dyDescent="0.25">
      <c r="A24">
        <v>23</v>
      </c>
      <c r="B24" t="s">
        <v>2021</v>
      </c>
      <c r="C24" t="s">
        <v>1651</v>
      </c>
      <c r="D24" t="s">
        <v>2022</v>
      </c>
      <c r="E24" t="s">
        <v>2023</v>
      </c>
      <c r="F24">
        <v>1</v>
      </c>
      <c r="G24">
        <v>19</v>
      </c>
      <c r="H24">
        <v>223</v>
      </c>
      <c r="I2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5" spans="1:9" x14ac:dyDescent="0.25">
      <c r="A25">
        <v>24</v>
      </c>
      <c r="B25" t="s">
        <v>2041</v>
      </c>
      <c r="C25" t="s">
        <v>697</v>
      </c>
      <c r="D25" t="s">
        <v>2042</v>
      </c>
      <c r="E25" t="s">
        <v>1015</v>
      </c>
      <c r="F25">
        <v>1</v>
      </c>
      <c r="G25">
        <v>29</v>
      </c>
      <c r="H25">
        <v>22</v>
      </c>
      <c r="I2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6" spans="1:9" x14ac:dyDescent="0.25">
      <c r="A26">
        <v>25</v>
      </c>
      <c r="B26" t="s">
        <v>2026</v>
      </c>
      <c r="C26" t="s">
        <v>381</v>
      </c>
      <c r="D26" t="s">
        <v>2027</v>
      </c>
      <c r="E26" t="s">
        <v>268</v>
      </c>
      <c r="F26">
        <v>10</v>
      </c>
      <c r="G26">
        <v>21</v>
      </c>
      <c r="H26">
        <v>86</v>
      </c>
      <c r="I2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7" spans="1:9" x14ac:dyDescent="0.25">
      <c r="A27">
        <v>26</v>
      </c>
      <c r="B27" t="s">
        <v>2029</v>
      </c>
      <c r="C27" t="s">
        <v>1190</v>
      </c>
      <c r="D27" t="s">
        <v>2030</v>
      </c>
      <c r="E27" t="s">
        <v>1192</v>
      </c>
      <c r="F27">
        <v>4</v>
      </c>
      <c r="G27">
        <v>23</v>
      </c>
      <c r="H27">
        <v>62</v>
      </c>
      <c r="I2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8" spans="1:9" x14ac:dyDescent="0.25">
      <c r="A28">
        <v>27</v>
      </c>
      <c r="B28" t="s">
        <v>2028</v>
      </c>
      <c r="C28" t="s">
        <v>628</v>
      </c>
      <c r="D28" t="s">
        <v>1306</v>
      </c>
      <c r="E28" t="s">
        <v>1307</v>
      </c>
      <c r="F28">
        <v>2</v>
      </c>
      <c r="G28">
        <v>22</v>
      </c>
      <c r="H28">
        <v>255</v>
      </c>
      <c r="I2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9" spans="1:9" x14ac:dyDescent="0.25">
      <c r="A29">
        <v>28</v>
      </c>
      <c r="B29" t="s">
        <v>2058</v>
      </c>
      <c r="C29" t="s">
        <v>1612</v>
      </c>
      <c r="D29" t="s">
        <v>2059</v>
      </c>
      <c r="E29" t="s">
        <v>1124</v>
      </c>
      <c r="F29">
        <v>7</v>
      </c>
      <c r="G29">
        <v>37</v>
      </c>
      <c r="H29">
        <v>99</v>
      </c>
      <c r="I2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0" spans="1:9" x14ac:dyDescent="0.25">
      <c r="A30">
        <v>29</v>
      </c>
      <c r="B30" t="s">
        <v>2031</v>
      </c>
      <c r="C30" t="s">
        <v>641</v>
      </c>
      <c r="D30" t="s">
        <v>2032</v>
      </c>
      <c r="E30" t="s">
        <v>1311</v>
      </c>
      <c r="F30">
        <v>8</v>
      </c>
      <c r="G30">
        <v>24</v>
      </c>
      <c r="H30">
        <v>255</v>
      </c>
      <c r="I3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1" spans="1:9" x14ac:dyDescent="0.25">
      <c r="A31">
        <v>30</v>
      </c>
      <c r="B31" t="s">
        <v>2033</v>
      </c>
      <c r="C31" t="s">
        <v>1377</v>
      </c>
      <c r="D31" t="s">
        <v>2034</v>
      </c>
      <c r="E31" t="s">
        <v>1379</v>
      </c>
      <c r="F31">
        <v>2</v>
      </c>
      <c r="G31">
        <v>25</v>
      </c>
      <c r="H31">
        <v>27</v>
      </c>
      <c r="I3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2" spans="1:9" x14ac:dyDescent="0.25">
      <c r="A32">
        <v>31</v>
      </c>
      <c r="B32" t="s">
        <v>2037</v>
      </c>
      <c r="C32" t="s">
        <v>912</v>
      </c>
      <c r="D32" t="s">
        <v>2038</v>
      </c>
      <c r="E32" t="s">
        <v>914</v>
      </c>
      <c r="F32">
        <v>3</v>
      </c>
      <c r="G32">
        <v>27</v>
      </c>
      <c r="H32">
        <v>73</v>
      </c>
      <c r="I3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3" spans="1:9" x14ac:dyDescent="0.25">
      <c r="A33">
        <v>32</v>
      </c>
      <c r="B33" t="s">
        <v>2035</v>
      </c>
      <c r="C33" t="s">
        <v>335</v>
      </c>
      <c r="D33" t="s">
        <v>2036</v>
      </c>
      <c r="E33" t="s">
        <v>337</v>
      </c>
      <c r="F33">
        <v>3</v>
      </c>
      <c r="G33">
        <v>26</v>
      </c>
      <c r="H33">
        <v>73</v>
      </c>
      <c r="I3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4" spans="1:9" x14ac:dyDescent="0.25">
      <c r="A34">
        <v>33</v>
      </c>
      <c r="B34" t="s">
        <v>2048</v>
      </c>
      <c r="C34" t="s">
        <v>1205</v>
      </c>
      <c r="D34" t="s">
        <v>2049</v>
      </c>
      <c r="E34" t="s">
        <v>1207</v>
      </c>
      <c r="F34">
        <v>20</v>
      </c>
      <c r="G34">
        <v>32</v>
      </c>
      <c r="H34">
        <v>255</v>
      </c>
      <c r="I3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5" spans="1:9" x14ac:dyDescent="0.25">
      <c r="A35">
        <v>34</v>
      </c>
      <c r="B35" t="s">
        <v>2076</v>
      </c>
      <c r="C35" t="s">
        <v>723</v>
      </c>
      <c r="D35" t="s">
        <v>2077</v>
      </c>
      <c r="E35" t="s">
        <v>1267</v>
      </c>
      <c r="F35">
        <v>20</v>
      </c>
      <c r="G35">
        <v>46</v>
      </c>
      <c r="H35">
        <v>253</v>
      </c>
      <c r="I3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6" spans="1:9" x14ac:dyDescent="0.25">
      <c r="A36">
        <v>35</v>
      </c>
      <c r="B36" t="s">
        <v>2056</v>
      </c>
      <c r="C36" t="s">
        <v>628</v>
      </c>
      <c r="D36" t="s">
        <v>2057</v>
      </c>
      <c r="E36" t="s">
        <v>1183</v>
      </c>
      <c r="F36">
        <v>2</v>
      </c>
      <c r="G36">
        <v>36</v>
      </c>
      <c r="H36">
        <v>30</v>
      </c>
      <c r="I3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7" spans="1:9" x14ac:dyDescent="0.25">
      <c r="A37">
        <v>36</v>
      </c>
      <c r="B37" t="s">
        <v>2052</v>
      </c>
      <c r="C37" t="s">
        <v>635</v>
      </c>
      <c r="D37" t="s">
        <v>2053</v>
      </c>
      <c r="E37" t="s">
        <v>109</v>
      </c>
      <c r="F37">
        <v>17</v>
      </c>
      <c r="G37">
        <v>34</v>
      </c>
      <c r="H37">
        <v>255</v>
      </c>
      <c r="I3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8" spans="1:9" x14ac:dyDescent="0.25">
      <c r="A38">
        <v>37</v>
      </c>
      <c r="B38" t="s">
        <v>2066</v>
      </c>
      <c r="C38" t="s">
        <v>2067</v>
      </c>
      <c r="D38" t="s">
        <v>2067</v>
      </c>
      <c r="E38" t="s">
        <v>109</v>
      </c>
      <c r="F38">
        <v>10</v>
      </c>
      <c r="G38">
        <v>41</v>
      </c>
      <c r="H38">
        <v>9</v>
      </c>
      <c r="I3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9" spans="1:9" x14ac:dyDescent="0.25">
      <c r="A39">
        <v>38</v>
      </c>
      <c r="B39" t="s">
        <v>2062</v>
      </c>
      <c r="C39" t="s">
        <v>1615</v>
      </c>
      <c r="D39" t="s">
        <v>2063</v>
      </c>
      <c r="E39" t="s">
        <v>2010</v>
      </c>
      <c r="F39">
        <v>1</v>
      </c>
      <c r="G39">
        <v>39</v>
      </c>
      <c r="H39">
        <v>142</v>
      </c>
      <c r="I3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0" spans="1:9" x14ac:dyDescent="0.25">
      <c r="A40">
        <v>39</v>
      </c>
      <c r="B40" t="s">
        <v>2070</v>
      </c>
      <c r="C40" t="s">
        <v>863</v>
      </c>
      <c r="D40" t="s">
        <v>2071</v>
      </c>
      <c r="E40" t="s">
        <v>1329</v>
      </c>
      <c r="F40">
        <v>19</v>
      </c>
      <c r="G40">
        <v>43</v>
      </c>
      <c r="H40">
        <v>255</v>
      </c>
      <c r="I4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1" spans="1:9" x14ac:dyDescent="0.25">
      <c r="A41">
        <v>40</v>
      </c>
      <c r="B41" t="s">
        <v>2064</v>
      </c>
      <c r="C41" t="s">
        <v>1575</v>
      </c>
      <c r="D41" t="s">
        <v>2065</v>
      </c>
      <c r="E41" t="s">
        <v>1576</v>
      </c>
      <c r="F41">
        <v>22</v>
      </c>
      <c r="G41">
        <v>40</v>
      </c>
      <c r="H41">
        <v>255</v>
      </c>
      <c r="I4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2" spans="1:9" x14ac:dyDescent="0.25">
      <c r="A42">
        <v>41</v>
      </c>
      <c r="B42" t="s">
        <v>2078</v>
      </c>
      <c r="C42" t="s">
        <v>511</v>
      </c>
      <c r="D42" t="s">
        <v>2079</v>
      </c>
      <c r="E42" t="s">
        <v>1164</v>
      </c>
      <c r="F42">
        <v>38</v>
      </c>
      <c r="G42">
        <v>47</v>
      </c>
      <c r="H42">
        <v>207</v>
      </c>
      <c r="I4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3" spans="1:9" x14ac:dyDescent="0.25">
      <c r="A43">
        <v>42</v>
      </c>
      <c r="B43" t="s">
        <v>2060</v>
      </c>
      <c r="C43" t="s">
        <v>628</v>
      </c>
      <c r="D43" t="s">
        <v>2061</v>
      </c>
      <c r="E43" t="s">
        <v>1015</v>
      </c>
      <c r="F43">
        <v>1</v>
      </c>
      <c r="G43">
        <v>38</v>
      </c>
      <c r="H43">
        <v>254</v>
      </c>
      <c r="I4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4" spans="1:9" x14ac:dyDescent="0.25">
      <c r="A44">
        <v>43</v>
      </c>
      <c r="B44" t="s">
        <v>2088</v>
      </c>
      <c r="C44" t="s">
        <v>1285</v>
      </c>
      <c r="D44" t="s">
        <v>2089</v>
      </c>
      <c r="E44" t="s">
        <v>2090</v>
      </c>
      <c r="F44">
        <v>2</v>
      </c>
      <c r="G44">
        <v>51</v>
      </c>
      <c r="H44">
        <v>53</v>
      </c>
      <c r="I4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5" spans="1:9" x14ac:dyDescent="0.25">
      <c r="A45">
        <v>44</v>
      </c>
      <c r="B45" t="s">
        <v>2039</v>
      </c>
      <c r="C45" t="s">
        <v>573</v>
      </c>
      <c r="D45" t="s">
        <v>2040</v>
      </c>
      <c r="E45" t="s">
        <v>573</v>
      </c>
      <c r="F45">
        <v>12</v>
      </c>
      <c r="G45">
        <v>28</v>
      </c>
      <c r="H45">
        <v>250</v>
      </c>
      <c r="I4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6" spans="1:9" x14ac:dyDescent="0.25">
      <c r="A46">
        <v>45</v>
      </c>
      <c r="B46" t="s">
        <v>2054</v>
      </c>
      <c r="C46" t="s">
        <v>1669</v>
      </c>
      <c r="D46" t="s">
        <v>2055</v>
      </c>
      <c r="E46" t="s">
        <v>1415</v>
      </c>
      <c r="F46">
        <v>15</v>
      </c>
      <c r="G46">
        <v>35</v>
      </c>
      <c r="H46">
        <v>5</v>
      </c>
      <c r="I4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7" spans="1:9" x14ac:dyDescent="0.25">
      <c r="A47">
        <v>46</v>
      </c>
      <c r="B47" t="s">
        <v>4256</v>
      </c>
      <c r="C47" t="s">
        <v>1649</v>
      </c>
      <c r="D47" t="s">
        <v>4257</v>
      </c>
      <c r="E47" t="s">
        <v>2334</v>
      </c>
      <c r="F47">
        <v>46</v>
      </c>
      <c r="G47">
        <v>-1</v>
      </c>
      <c r="H47">
        <v>1</v>
      </c>
      <c r="I47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48" spans="1:9" x14ac:dyDescent="0.25">
      <c r="A48">
        <v>47</v>
      </c>
      <c r="B48" t="s">
        <v>2118</v>
      </c>
      <c r="C48" t="s">
        <v>697</v>
      </c>
      <c r="D48" t="s">
        <v>2119</v>
      </c>
      <c r="E48" t="s">
        <v>1015</v>
      </c>
      <c r="F48">
        <v>1</v>
      </c>
      <c r="G48">
        <v>65</v>
      </c>
      <c r="H48">
        <v>77</v>
      </c>
      <c r="I4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9" spans="1:9" x14ac:dyDescent="0.25">
      <c r="A49">
        <v>48</v>
      </c>
      <c r="B49" t="s">
        <v>2046</v>
      </c>
      <c r="C49" t="s">
        <v>1288</v>
      </c>
      <c r="D49" t="s">
        <v>2047</v>
      </c>
      <c r="E49" t="s">
        <v>341</v>
      </c>
      <c r="F49">
        <v>4</v>
      </c>
      <c r="G49">
        <v>31</v>
      </c>
      <c r="H49">
        <v>6</v>
      </c>
      <c r="I4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0" spans="1:9" x14ac:dyDescent="0.25">
      <c r="A50">
        <v>49</v>
      </c>
      <c r="B50" t="s">
        <v>2068</v>
      </c>
      <c r="C50" t="s">
        <v>573</v>
      </c>
      <c r="D50" t="s">
        <v>2069</v>
      </c>
      <c r="E50" t="s">
        <v>573</v>
      </c>
      <c r="F50">
        <v>1</v>
      </c>
      <c r="G50">
        <v>42</v>
      </c>
      <c r="H50">
        <v>149</v>
      </c>
      <c r="I5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1" spans="1:9" x14ac:dyDescent="0.25">
      <c r="A51">
        <v>50</v>
      </c>
      <c r="B51" t="s">
        <v>2086</v>
      </c>
      <c r="C51" t="s">
        <v>725</v>
      </c>
      <c r="D51" t="s">
        <v>2087</v>
      </c>
      <c r="E51" t="s">
        <v>303</v>
      </c>
      <c r="F51">
        <v>2</v>
      </c>
      <c r="G51">
        <v>50</v>
      </c>
      <c r="H51">
        <v>168</v>
      </c>
      <c r="I5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2" spans="1:9" x14ac:dyDescent="0.25">
      <c r="A52">
        <v>51</v>
      </c>
      <c r="B52" t="s">
        <v>2084</v>
      </c>
      <c r="C52" t="s">
        <v>1619</v>
      </c>
      <c r="D52" t="s">
        <v>2085</v>
      </c>
      <c r="E52" t="s">
        <v>1124</v>
      </c>
      <c r="F52">
        <v>12</v>
      </c>
      <c r="G52">
        <v>49</v>
      </c>
      <c r="H52">
        <v>9</v>
      </c>
      <c r="I5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3" spans="1:9" x14ac:dyDescent="0.25">
      <c r="A53">
        <v>52</v>
      </c>
      <c r="B53" t="s">
        <v>2072</v>
      </c>
      <c r="C53" t="s">
        <v>1398</v>
      </c>
      <c r="D53" t="s">
        <v>2073</v>
      </c>
      <c r="E53" t="s">
        <v>1400</v>
      </c>
      <c r="F53">
        <v>21</v>
      </c>
      <c r="G53">
        <v>44</v>
      </c>
      <c r="H53">
        <v>11</v>
      </c>
      <c r="I5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4" spans="1:9" x14ac:dyDescent="0.25">
      <c r="A54">
        <v>53</v>
      </c>
      <c r="B54" t="s">
        <v>2097</v>
      </c>
      <c r="C54" t="s">
        <v>1651</v>
      </c>
      <c r="D54" t="s">
        <v>2098</v>
      </c>
      <c r="E54" t="s">
        <v>2023</v>
      </c>
      <c r="F54">
        <v>1</v>
      </c>
      <c r="G54">
        <v>55</v>
      </c>
      <c r="H54">
        <v>103</v>
      </c>
      <c r="I5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5" spans="1:9" x14ac:dyDescent="0.25">
      <c r="A55">
        <v>54</v>
      </c>
      <c r="B55" t="s">
        <v>2101</v>
      </c>
      <c r="C55" t="s">
        <v>1843</v>
      </c>
      <c r="D55" t="s">
        <v>2102</v>
      </c>
      <c r="E55" t="s">
        <v>303</v>
      </c>
      <c r="F55">
        <v>2</v>
      </c>
      <c r="G55">
        <v>57</v>
      </c>
      <c r="H55">
        <v>95</v>
      </c>
      <c r="I5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6" spans="1:9" x14ac:dyDescent="0.25">
      <c r="A56">
        <v>55</v>
      </c>
      <c r="B56" t="s">
        <v>2080</v>
      </c>
      <c r="C56" t="s">
        <v>2081</v>
      </c>
      <c r="D56" t="s">
        <v>2082</v>
      </c>
      <c r="E56" t="s">
        <v>2083</v>
      </c>
      <c r="F56">
        <v>28</v>
      </c>
      <c r="G56">
        <v>48</v>
      </c>
      <c r="H56">
        <v>15</v>
      </c>
      <c r="I5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7" spans="1:9" x14ac:dyDescent="0.25">
      <c r="A57">
        <v>56</v>
      </c>
      <c r="B57" t="s">
        <v>2095</v>
      </c>
      <c r="C57" t="s">
        <v>329</v>
      </c>
      <c r="D57" t="s">
        <v>2096</v>
      </c>
      <c r="E57" t="s">
        <v>268</v>
      </c>
      <c r="F57">
        <v>23</v>
      </c>
      <c r="G57">
        <v>54</v>
      </c>
      <c r="H57">
        <v>255</v>
      </c>
      <c r="I5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8" spans="1:9" x14ac:dyDescent="0.25">
      <c r="A58">
        <v>57</v>
      </c>
      <c r="B58" t="s">
        <v>2099</v>
      </c>
      <c r="C58" t="s">
        <v>329</v>
      </c>
      <c r="D58" t="s">
        <v>2100</v>
      </c>
      <c r="E58" t="s">
        <v>268</v>
      </c>
      <c r="F58">
        <v>13</v>
      </c>
      <c r="G58">
        <v>56</v>
      </c>
      <c r="H58">
        <v>168</v>
      </c>
      <c r="I5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9" spans="1:9" x14ac:dyDescent="0.25">
      <c r="A59">
        <v>58</v>
      </c>
      <c r="B59" t="s">
        <v>2093</v>
      </c>
      <c r="C59" t="s">
        <v>710</v>
      </c>
      <c r="D59" t="s">
        <v>2094</v>
      </c>
      <c r="E59" t="s">
        <v>1211</v>
      </c>
      <c r="F59">
        <v>19</v>
      </c>
      <c r="G59">
        <v>53</v>
      </c>
      <c r="H59">
        <v>254</v>
      </c>
      <c r="I5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0" spans="1:9" x14ac:dyDescent="0.25">
      <c r="A60">
        <v>59</v>
      </c>
      <c r="B60" t="s">
        <v>2106</v>
      </c>
      <c r="C60" t="s">
        <v>301</v>
      </c>
      <c r="D60" t="s">
        <v>2107</v>
      </c>
      <c r="E60" t="s">
        <v>303</v>
      </c>
      <c r="F60">
        <v>11</v>
      </c>
      <c r="G60">
        <v>59</v>
      </c>
      <c r="H60">
        <v>15</v>
      </c>
      <c r="I6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1" spans="1:9" x14ac:dyDescent="0.25">
      <c r="A61">
        <v>60</v>
      </c>
      <c r="B61" t="s">
        <v>4258</v>
      </c>
      <c r="C61" t="s">
        <v>1942</v>
      </c>
      <c r="D61" t="s">
        <v>4259</v>
      </c>
      <c r="E61" t="s">
        <v>1943</v>
      </c>
      <c r="F61">
        <v>60</v>
      </c>
      <c r="G61">
        <v>-1</v>
      </c>
      <c r="H61">
        <v>1</v>
      </c>
      <c r="I61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62" spans="1:9" x14ac:dyDescent="0.25">
      <c r="A62">
        <v>61</v>
      </c>
      <c r="B62" t="s">
        <v>2091</v>
      </c>
      <c r="C62" t="s">
        <v>1301</v>
      </c>
      <c r="D62" t="s">
        <v>2092</v>
      </c>
      <c r="E62" t="s">
        <v>1303</v>
      </c>
      <c r="F62">
        <v>3</v>
      </c>
      <c r="G62">
        <v>52</v>
      </c>
      <c r="H62">
        <v>25</v>
      </c>
      <c r="I6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3" spans="1:9" x14ac:dyDescent="0.25">
      <c r="A63">
        <v>62</v>
      </c>
      <c r="B63" t="s">
        <v>2103</v>
      </c>
      <c r="C63" t="s">
        <v>1837</v>
      </c>
      <c r="D63" t="s">
        <v>2104</v>
      </c>
      <c r="E63" t="s">
        <v>2105</v>
      </c>
      <c r="F63">
        <v>2</v>
      </c>
      <c r="G63">
        <v>58</v>
      </c>
      <c r="H63">
        <v>122</v>
      </c>
      <c r="I6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4" spans="1:9" x14ac:dyDescent="0.25">
      <c r="A64">
        <v>63</v>
      </c>
      <c r="B64" t="s">
        <v>2110</v>
      </c>
      <c r="C64" t="s">
        <v>1362</v>
      </c>
      <c r="D64" t="s">
        <v>1362</v>
      </c>
      <c r="E64" t="s">
        <v>1364</v>
      </c>
      <c r="F64">
        <v>31</v>
      </c>
      <c r="G64">
        <v>61</v>
      </c>
      <c r="H64">
        <v>185</v>
      </c>
      <c r="I6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5" spans="1:9" x14ac:dyDescent="0.25">
      <c r="A65">
        <v>64</v>
      </c>
      <c r="B65" t="s">
        <v>2043</v>
      </c>
      <c r="C65" t="s">
        <v>1635</v>
      </c>
      <c r="D65" t="s">
        <v>2044</v>
      </c>
      <c r="E65" t="s">
        <v>2045</v>
      </c>
      <c r="F65">
        <v>6</v>
      </c>
      <c r="G65">
        <v>30</v>
      </c>
      <c r="H65">
        <v>3</v>
      </c>
      <c r="I6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6" spans="1:9" x14ac:dyDescent="0.25">
      <c r="A66">
        <v>65</v>
      </c>
      <c r="B66" t="s">
        <v>2122</v>
      </c>
      <c r="C66" t="s">
        <v>1282</v>
      </c>
      <c r="D66" t="s">
        <v>2123</v>
      </c>
      <c r="E66" t="s">
        <v>957</v>
      </c>
      <c r="F66">
        <v>49</v>
      </c>
      <c r="G66">
        <v>67</v>
      </c>
      <c r="H66">
        <v>38</v>
      </c>
      <c r="I6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7" spans="1:9" x14ac:dyDescent="0.25">
      <c r="A67">
        <v>66</v>
      </c>
      <c r="B67" t="s">
        <v>2113</v>
      </c>
      <c r="C67" t="s">
        <v>1220</v>
      </c>
      <c r="D67" t="s">
        <v>2114</v>
      </c>
      <c r="E67" t="s">
        <v>1222</v>
      </c>
      <c r="F67">
        <v>63</v>
      </c>
      <c r="G67">
        <v>63</v>
      </c>
      <c r="H67">
        <v>25</v>
      </c>
      <c r="I6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8" spans="1:9" x14ac:dyDescent="0.25">
      <c r="A68">
        <v>67</v>
      </c>
      <c r="B68" t="s">
        <v>2074</v>
      </c>
      <c r="C68" t="s">
        <v>573</v>
      </c>
      <c r="D68" t="s">
        <v>2075</v>
      </c>
      <c r="E68" t="s">
        <v>573</v>
      </c>
      <c r="F68">
        <v>5</v>
      </c>
      <c r="G68">
        <v>45</v>
      </c>
      <c r="H68">
        <v>251</v>
      </c>
      <c r="I6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9" spans="1:9" x14ac:dyDescent="0.25">
      <c r="A69">
        <v>68</v>
      </c>
      <c r="B69" t="s">
        <v>2108</v>
      </c>
      <c r="C69" t="s">
        <v>1500</v>
      </c>
      <c r="D69" t="s">
        <v>2109</v>
      </c>
      <c r="E69" t="s">
        <v>1276</v>
      </c>
      <c r="F69">
        <v>1</v>
      </c>
      <c r="G69">
        <v>60</v>
      </c>
      <c r="H69">
        <v>40</v>
      </c>
      <c r="I6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0" spans="1:9" x14ac:dyDescent="0.25">
      <c r="A70">
        <v>69</v>
      </c>
      <c r="B70" t="s">
        <v>2127</v>
      </c>
      <c r="C70" t="s">
        <v>1105</v>
      </c>
      <c r="D70" t="s">
        <v>2128</v>
      </c>
      <c r="E70" t="s">
        <v>303</v>
      </c>
      <c r="F70">
        <v>3</v>
      </c>
      <c r="G70">
        <v>69</v>
      </c>
      <c r="H70">
        <v>58</v>
      </c>
      <c r="I7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1" spans="1:9" x14ac:dyDescent="0.25">
      <c r="A71">
        <v>70</v>
      </c>
      <c r="B71" t="s">
        <v>2120</v>
      </c>
      <c r="C71" t="s">
        <v>1575</v>
      </c>
      <c r="D71" t="s">
        <v>2121</v>
      </c>
      <c r="E71" t="s">
        <v>1576</v>
      </c>
      <c r="F71">
        <v>42</v>
      </c>
      <c r="G71">
        <v>66</v>
      </c>
      <c r="H71">
        <v>253</v>
      </c>
      <c r="I7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2" spans="1:9" x14ac:dyDescent="0.25">
      <c r="A72">
        <v>71</v>
      </c>
      <c r="B72" t="s">
        <v>2115</v>
      </c>
      <c r="C72" t="s">
        <v>2116</v>
      </c>
      <c r="D72" t="s">
        <v>2117</v>
      </c>
      <c r="E72" t="s">
        <v>109</v>
      </c>
      <c r="F72">
        <v>1</v>
      </c>
      <c r="G72">
        <v>64</v>
      </c>
      <c r="H72">
        <v>38</v>
      </c>
      <c r="I7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3" spans="1:9" x14ac:dyDescent="0.25">
      <c r="A73">
        <v>72</v>
      </c>
      <c r="B73" t="s">
        <v>2131</v>
      </c>
      <c r="C73" t="s">
        <v>1590</v>
      </c>
      <c r="D73" t="s">
        <v>2132</v>
      </c>
      <c r="E73" t="s">
        <v>1590</v>
      </c>
      <c r="F73">
        <v>1</v>
      </c>
      <c r="G73">
        <v>71</v>
      </c>
      <c r="H73">
        <v>130</v>
      </c>
      <c r="I7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4" spans="1:9" x14ac:dyDescent="0.25">
      <c r="A74">
        <v>73</v>
      </c>
      <c r="B74" t="s">
        <v>2140</v>
      </c>
      <c r="C74" t="s">
        <v>1741</v>
      </c>
      <c r="D74" t="s">
        <v>2141</v>
      </c>
      <c r="E74" t="s">
        <v>2142</v>
      </c>
      <c r="F74">
        <v>23</v>
      </c>
      <c r="G74">
        <v>75</v>
      </c>
      <c r="H74">
        <v>255</v>
      </c>
      <c r="I7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5" spans="1:9" x14ac:dyDescent="0.25">
      <c r="A75">
        <v>74</v>
      </c>
      <c r="B75" t="s">
        <v>2129</v>
      </c>
      <c r="C75" t="s">
        <v>1462</v>
      </c>
      <c r="D75" t="s">
        <v>2130</v>
      </c>
      <c r="E75" t="s">
        <v>109</v>
      </c>
      <c r="F75">
        <v>2</v>
      </c>
      <c r="G75">
        <v>70</v>
      </c>
      <c r="H75">
        <v>46</v>
      </c>
      <c r="I7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6" spans="1:9" x14ac:dyDescent="0.25">
      <c r="A76">
        <v>75</v>
      </c>
      <c r="B76" t="s">
        <v>2111</v>
      </c>
      <c r="C76" t="s">
        <v>1811</v>
      </c>
      <c r="D76" t="s">
        <v>2112</v>
      </c>
      <c r="E76" t="s">
        <v>109</v>
      </c>
      <c r="F76">
        <v>21</v>
      </c>
      <c r="G76">
        <v>62</v>
      </c>
      <c r="H76">
        <v>218</v>
      </c>
      <c r="I7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7" spans="1:9" x14ac:dyDescent="0.25">
      <c r="A77">
        <v>76</v>
      </c>
      <c r="B77" t="s">
        <v>2133</v>
      </c>
      <c r="C77" t="s">
        <v>2134</v>
      </c>
      <c r="D77" t="s">
        <v>2135</v>
      </c>
      <c r="E77" t="s">
        <v>1536</v>
      </c>
      <c r="F77">
        <v>2</v>
      </c>
      <c r="G77">
        <v>72</v>
      </c>
      <c r="H77">
        <v>28</v>
      </c>
      <c r="I7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8" spans="1:9" x14ac:dyDescent="0.25">
      <c r="A78">
        <v>77</v>
      </c>
      <c r="B78" t="s">
        <v>2145</v>
      </c>
      <c r="C78" t="s">
        <v>1391</v>
      </c>
      <c r="D78" t="s">
        <v>2146</v>
      </c>
      <c r="E78" t="s">
        <v>341</v>
      </c>
      <c r="F78">
        <v>32</v>
      </c>
      <c r="G78">
        <v>77</v>
      </c>
      <c r="H78">
        <v>253</v>
      </c>
      <c r="I7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9" spans="1:9" x14ac:dyDescent="0.25">
      <c r="A79">
        <v>78</v>
      </c>
      <c r="B79" t="s">
        <v>2143</v>
      </c>
      <c r="C79" t="s">
        <v>1629</v>
      </c>
      <c r="D79" t="s">
        <v>2144</v>
      </c>
      <c r="E79" t="s">
        <v>1015</v>
      </c>
      <c r="F79">
        <v>9</v>
      </c>
      <c r="G79">
        <v>76</v>
      </c>
      <c r="H79">
        <v>255</v>
      </c>
      <c r="I7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0" spans="1:9" x14ac:dyDescent="0.25">
      <c r="A80">
        <v>79</v>
      </c>
      <c r="B80" t="s">
        <v>2151</v>
      </c>
      <c r="C80" t="s">
        <v>841</v>
      </c>
      <c r="D80" t="s">
        <v>2152</v>
      </c>
      <c r="E80" t="s">
        <v>268</v>
      </c>
      <c r="F80">
        <v>1</v>
      </c>
      <c r="G80">
        <v>80</v>
      </c>
      <c r="H80">
        <v>255</v>
      </c>
      <c r="I8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1" spans="1:9" x14ac:dyDescent="0.25">
      <c r="A81">
        <v>80</v>
      </c>
      <c r="B81" t="s">
        <v>2153</v>
      </c>
      <c r="C81" t="s">
        <v>573</v>
      </c>
      <c r="D81" t="s">
        <v>2154</v>
      </c>
      <c r="E81" t="s">
        <v>573</v>
      </c>
      <c r="F81">
        <v>1</v>
      </c>
      <c r="G81">
        <v>81</v>
      </c>
      <c r="H81">
        <v>198</v>
      </c>
      <c r="I8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2" spans="1:9" x14ac:dyDescent="0.25">
      <c r="A82">
        <v>81</v>
      </c>
      <c r="B82" t="s">
        <v>2124</v>
      </c>
      <c r="C82" t="s">
        <v>1398</v>
      </c>
      <c r="D82" t="s">
        <v>2125</v>
      </c>
      <c r="E82" t="s">
        <v>2126</v>
      </c>
      <c r="F82">
        <v>23</v>
      </c>
      <c r="G82">
        <v>68</v>
      </c>
      <c r="H82">
        <v>73</v>
      </c>
      <c r="I8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3" spans="1:9" x14ac:dyDescent="0.25">
      <c r="A83">
        <v>82</v>
      </c>
      <c r="B83" t="s">
        <v>2163</v>
      </c>
      <c r="C83" t="s">
        <v>816</v>
      </c>
      <c r="D83" t="s">
        <v>2164</v>
      </c>
      <c r="E83" t="s">
        <v>1528</v>
      </c>
      <c r="F83">
        <v>65</v>
      </c>
      <c r="G83">
        <v>86</v>
      </c>
      <c r="H83">
        <v>254</v>
      </c>
      <c r="I8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4" spans="1:9" x14ac:dyDescent="0.25">
      <c r="A84">
        <v>83</v>
      </c>
      <c r="B84" t="s">
        <v>4260</v>
      </c>
      <c r="C84" t="s">
        <v>1722</v>
      </c>
      <c r="D84" t="s">
        <v>4261</v>
      </c>
      <c r="E84" t="s">
        <v>3849</v>
      </c>
      <c r="F84">
        <v>83</v>
      </c>
      <c r="G84">
        <v>-1</v>
      </c>
      <c r="H84">
        <v>1</v>
      </c>
      <c r="I84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85" spans="1:9" x14ac:dyDescent="0.25">
      <c r="A85">
        <v>84</v>
      </c>
      <c r="B85" t="s">
        <v>2149</v>
      </c>
      <c r="C85" t="s">
        <v>1610</v>
      </c>
      <c r="D85" t="s">
        <v>2150</v>
      </c>
      <c r="E85" t="s">
        <v>2090</v>
      </c>
      <c r="F85">
        <v>3</v>
      </c>
      <c r="G85">
        <v>79</v>
      </c>
      <c r="H85">
        <v>62</v>
      </c>
      <c r="I8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6" spans="1:9" x14ac:dyDescent="0.25">
      <c r="A86">
        <v>85</v>
      </c>
      <c r="B86" t="s">
        <v>2136</v>
      </c>
      <c r="C86" t="s">
        <v>1235</v>
      </c>
      <c r="D86" t="s">
        <v>2137</v>
      </c>
      <c r="E86" t="s">
        <v>1237</v>
      </c>
      <c r="F86">
        <v>42</v>
      </c>
      <c r="G86">
        <v>73</v>
      </c>
      <c r="H86">
        <v>16</v>
      </c>
      <c r="I8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7" spans="1:9" x14ac:dyDescent="0.25">
      <c r="A87">
        <v>86</v>
      </c>
      <c r="B87" t="s">
        <v>2173</v>
      </c>
      <c r="C87" t="s">
        <v>816</v>
      </c>
      <c r="D87" t="s">
        <v>2174</v>
      </c>
      <c r="E87" t="s">
        <v>1528</v>
      </c>
      <c r="F87">
        <v>80</v>
      </c>
      <c r="G87">
        <v>90</v>
      </c>
      <c r="H87">
        <v>96</v>
      </c>
      <c r="I8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8" spans="1:9" x14ac:dyDescent="0.25">
      <c r="A88">
        <v>87</v>
      </c>
      <c r="B88" t="s">
        <v>2168</v>
      </c>
      <c r="C88" t="s">
        <v>641</v>
      </c>
      <c r="D88" t="s">
        <v>2169</v>
      </c>
      <c r="E88" t="s">
        <v>1460</v>
      </c>
      <c r="F88">
        <v>33</v>
      </c>
      <c r="G88">
        <v>88</v>
      </c>
      <c r="H88">
        <v>173</v>
      </c>
      <c r="I8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9" spans="1:9" x14ac:dyDescent="0.25">
      <c r="A89">
        <v>88</v>
      </c>
      <c r="B89" t="s">
        <v>2159</v>
      </c>
      <c r="C89" t="s">
        <v>620</v>
      </c>
      <c r="D89" t="s">
        <v>2160</v>
      </c>
      <c r="E89" t="s">
        <v>1972</v>
      </c>
      <c r="F89">
        <v>56</v>
      </c>
      <c r="G89">
        <v>84</v>
      </c>
      <c r="H89">
        <v>255</v>
      </c>
      <c r="I8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0" spans="1:9" x14ac:dyDescent="0.25">
      <c r="A90">
        <v>89</v>
      </c>
      <c r="B90" t="s">
        <v>2138</v>
      </c>
      <c r="C90" t="s">
        <v>1309</v>
      </c>
      <c r="D90" t="s">
        <v>2139</v>
      </c>
      <c r="E90" t="s">
        <v>1311</v>
      </c>
      <c r="F90">
        <v>34</v>
      </c>
      <c r="G90">
        <v>74</v>
      </c>
      <c r="H90">
        <v>18</v>
      </c>
      <c r="I9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1" spans="1:9" x14ac:dyDescent="0.25">
      <c r="A91">
        <v>90</v>
      </c>
      <c r="B91" t="s">
        <v>2155</v>
      </c>
      <c r="C91" t="s">
        <v>43</v>
      </c>
      <c r="D91" t="s">
        <v>2156</v>
      </c>
      <c r="E91" t="s">
        <v>31</v>
      </c>
      <c r="F91">
        <v>64</v>
      </c>
      <c r="G91">
        <v>82</v>
      </c>
      <c r="H91">
        <v>14</v>
      </c>
      <c r="I9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2" spans="1:9" x14ac:dyDescent="0.25">
      <c r="A92">
        <v>91</v>
      </c>
      <c r="B92" t="s">
        <v>2161</v>
      </c>
      <c r="C92" t="s">
        <v>841</v>
      </c>
      <c r="D92" t="s">
        <v>2162</v>
      </c>
      <c r="E92" t="s">
        <v>268</v>
      </c>
      <c r="F92">
        <v>17</v>
      </c>
      <c r="G92">
        <v>85</v>
      </c>
      <c r="H92">
        <v>254</v>
      </c>
      <c r="I9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3" spans="1:9" x14ac:dyDescent="0.25">
      <c r="A93">
        <v>92</v>
      </c>
      <c r="B93" t="s">
        <v>2175</v>
      </c>
      <c r="C93" t="s">
        <v>697</v>
      </c>
      <c r="D93" t="s">
        <v>2176</v>
      </c>
      <c r="E93" t="s">
        <v>2177</v>
      </c>
      <c r="F93">
        <v>85</v>
      </c>
      <c r="G93">
        <v>91</v>
      </c>
      <c r="H93">
        <v>215</v>
      </c>
      <c r="I9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4" spans="1:9" x14ac:dyDescent="0.25">
      <c r="A94">
        <v>93</v>
      </c>
      <c r="B94" t="s">
        <v>2165</v>
      </c>
      <c r="C94" t="s">
        <v>1786</v>
      </c>
      <c r="D94" t="s">
        <v>2166</v>
      </c>
      <c r="E94" t="s">
        <v>2167</v>
      </c>
      <c r="F94">
        <v>67</v>
      </c>
      <c r="G94">
        <v>87</v>
      </c>
      <c r="H94">
        <v>27</v>
      </c>
      <c r="I9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5" spans="1:9" x14ac:dyDescent="0.25">
      <c r="A95">
        <v>94</v>
      </c>
      <c r="B95" t="s">
        <v>2157</v>
      </c>
      <c r="C95" t="s">
        <v>1434</v>
      </c>
      <c r="D95" t="s">
        <v>2158</v>
      </c>
      <c r="E95" t="s">
        <v>1436</v>
      </c>
      <c r="F95">
        <v>20</v>
      </c>
      <c r="G95">
        <v>83</v>
      </c>
      <c r="H95">
        <v>255</v>
      </c>
      <c r="I9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6" spans="1:9" x14ac:dyDescent="0.25">
      <c r="A96">
        <v>95</v>
      </c>
      <c r="B96" t="s">
        <v>2178</v>
      </c>
      <c r="C96" t="s">
        <v>1159</v>
      </c>
      <c r="D96" t="s">
        <v>2179</v>
      </c>
      <c r="E96" t="s">
        <v>2007</v>
      </c>
      <c r="F96">
        <v>1</v>
      </c>
      <c r="G96">
        <v>92</v>
      </c>
      <c r="H96">
        <v>98</v>
      </c>
      <c r="I9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7" spans="1:9" x14ac:dyDescent="0.25">
      <c r="A97">
        <v>96</v>
      </c>
      <c r="B97" t="s">
        <v>2189</v>
      </c>
      <c r="C97" t="s">
        <v>1377</v>
      </c>
      <c r="D97" t="s">
        <v>2190</v>
      </c>
      <c r="E97" t="s">
        <v>1379</v>
      </c>
      <c r="F97">
        <v>2</v>
      </c>
      <c r="G97">
        <v>97</v>
      </c>
      <c r="H97">
        <v>90</v>
      </c>
      <c r="I9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8" spans="1:9" x14ac:dyDescent="0.25">
      <c r="A98">
        <v>97</v>
      </c>
      <c r="B98" t="s">
        <v>2147</v>
      </c>
      <c r="C98" t="s">
        <v>1771</v>
      </c>
      <c r="D98" t="s">
        <v>2148</v>
      </c>
      <c r="E98" t="s">
        <v>1133</v>
      </c>
      <c r="F98">
        <v>58</v>
      </c>
      <c r="G98">
        <v>78</v>
      </c>
      <c r="H98">
        <v>254</v>
      </c>
      <c r="I9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9" spans="1:9" x14ac:dyDescent="0.25">
      <c r="A99">
        <v>98</v>
      </c>
      <c r="B99" t="s">
        <v>2180</v>
      </c>
      <c r="C99" t="s">
        <v>1608</v>
      </c>
      <c r="D99" t="s">
        <v>2181</v>
      </c>
      <c r="E99" t="s">
        <v>2182</v>
      </c>
      <c r="F99">
        <v>31</v>
      </c>
      <c r="G99">
        <v>93</v>
      </c>
      <c r="H99">
        <v>244</v>
      </c>
      <c r="I9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0" spans="1:9" x14ac:dyDescent="0.25">
      <c r="A100">
        <v>99</v>
      </c>
      <c r="B100" t="s">
        <v>2183</v>
      </c>
      <c r="C100" t="s">
        <v>481</v>
      </c>
      <c r="D100" t="s">
        <v>2184</v>
      </c>
      <c r="E100" t="s">
        <v>1120</v>
      </c>
      <c r="F100">
        <v>11</v>
      </c>
      <c r="G100">
        <v>94</v>
      </c>
      <c r="H100">
        <v>255</v>
      </c>
      <c r="I10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1" spans="1:9" x14ac:dyDescent="0.25">
      <c r="A101">
        <v>100</v>
      </c>
      <c r="B101" t="s">
        <v>2170</v>
      </c>
      <c r="C101" t="s">
        <v>1603</v>
      </c>
      <c r="D101" t="s">
        <v>2171</v>
      </c>
      <c r="E101" t="s">
        <v>2172</v>
      </c>
      <c r="F101">
        <v>1</v>
      </c>
      <c r="G101">
        <v>89</v>
      </c>
      <c r="H101">
        <v>41</v>
      </c>
      <c r="I10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2" spans="1:9" x14ac:dyDescent="0.25">
      <c r="A102">
        <v>101</v>
      </c>
      <c r="B102" t="s">
        <v>2203</v>
      </c>
      <c r="C102" t="s">
        <v>739</v>
      </c>
      <c r="D102" t="s">
        <v>2204</v>
      </c>
      <c r="E102" t="s">
        <v>2205</v>
      </c>
      <c r="F102">
        <v>25</v>
      </c>
      <c r="G102">
        <v>103</v>
      </c>
      <c r="H102">
        <v>255</v>
      </c>
      <c r="I10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3" spans="1:9" x14ac:dyDescent="0.25">
      <c r="A103">
        <v>102</v>
      </c>
      <c r="B103" t="s">
        <v>2185</v>
      </c>
      <c r="C103" t="s">
        <v>335</v>
      </c>
      <c r="D103" t="s">
        <v>2186</v>
      </c>
      <c r="E103" t="s">
        <v>337</v>
      </c>
      <c r="F103">
        <v>15</v>
      </c>
      <c r="G103">
        <v>95</v>
      </c>
      <c r="H103">
        <v>10</v>
      </c>
      <c r="I10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4" spans="1:9" x14ac:dyDescent="0.25">
      <c r="A104">
        <v>103</v>
      </c>
      <c r="B104" t="s">
        <v>2196</v>
      </c>
      <c r="C104" t="s">
        <v>573</v>
      </c>
      <c r="D104" t="s">
        <v>2197</v>
      </c>
      <c r="E104" t="s">
        <v>573</v>
      </c>
      <c r="F104">
        <v>1</v>
      </c>
      <c r="G104">
        <v>100</v>
      </c>
      <c r="H104">
        <v>96</v>
      </c>
      <c r="I10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5" spans="1:9" x14ac:dyDescent="0.25">
      <c r="A105">
        <v>104</v>
      </c>
      <c r="B105" t="s">
        <v>2210</v>
      </c>
      <c r="C105" t="s">
        <v>1653</v>
      </c>
      <c r="D105" t="s">
        <v>2211</v>
      </c>
      <c r="E105" t="s">
        <v>2212</v>
      </c>
      <c r="F105">
        <v>1</v>
      </c>
      <c r="G105">
        <v>106</v>
      </c>
      <c r="H105">
        <v>24</v>
      </c>
      <c r="I10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6" spans="1:9" x14ac:dyDescent="0.25">
      <c r="A106">
        <v>105</v>
      </c>
      <c r="B106" t="s">
        <v>2198</v>
      </c>
      <c r="C106" t="s">
        <v>1324</v>
      </c>
      <c r="D106" t="s">
        <v>2199</v>
      </c>
      <c r="E106" t="s">
        <v>2200</v>
      </c>
      <c r="F106">
        <v>1</v>
      </c>
      <c r="G106">
        <v>101</v>
      </c>
      <c r="H106">
        <v>130</v>
      </c>
      <c r="I10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7" spans="1:9" x14ac:dyDescent="0.25">
      <c r="A107">
        <v>106</v>
      </c>
      <c r="B107" t="s">
        <v>2187</v>
      </c>
      <c r="C107" t="s">
        <v>1194</v>
      </c>
      <c r="D107" t="s">
        <v>2188</v>
      </c>
      <c r="E107" t="s">
        <v>1196</v>
      </c>
      <c r="F107">
        <v>17</v>
      </c>
      <c r="G107">
        <v>96</v>
      </c>
      <c r="H107">
        <v>7</v>
      </c>
      <c r="I10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8" spans="1:9" x14ac:dyDescent="0.25">
      <c r="A108">
        <v>107</v>
      </c>
      <c r="B108" t="s">
        <v>2201</v>
      </c>
      <c r="C108" t="s">
        <v>1679</v>
      </c>
      <c r="D108" t="s">
        <v>2202</v>
      </c>
      <c r="E108" t="s">
        <v>1973</v>
      </c>
      <c r="F108">
        <v>42</v>
      </c>
      <c r="G108">
        <v>102</v>
      </c>
      <c r="H108">
        <v>132</v>
      </c>
      <c r="I10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9" spans="1:9" x14ac:dyDescent="0.25">
      <c r="A109">
        <v>108</v>
      </c>
      <c r="B109" t="s">
        <v>2228</v>
      </c>
      <c r="C109" t="s">
        <v>1683</v>
      </c>
      <c r="D109" t="s">
        <v>2229</v>
      </c>
      <c r="E109" t="s">
        <v>2230</v>
      </c>
      <c r="F109">
        <v>43</v>
      </c>
      <c r="G109">
        <v>114</v>
      </c>
      <c r="H109">
        <v>96</v>
      </c>
      <c r="I10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0" spans="1:9" x14ac:dyDescent="0.25">
      <c r="A110">
        <v>109</v>
      </c>
      <c r="B110" t="s">
        <v>2206</v>
      </c>
      <c r="C110" t="s">
        <v>1350</v>
      </c>
      <c r="D110" t="s">
        <v>2207</v>
      </c>
      <c r="E110" t="s">
        <v>376</v>
      </c>
      <c r="F110">
        <v>50</v>
      </c>
      <c r="G110">
        <v>104</v>
      </c>
      <c r="H110">
        <v>244</v>
      </c>
      <c r="I11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1" spans="1:9" x14ac:dyDescent="0.25">
      <c r="A111">
        <v>110</v>
      </c>
      <c r="B111" t="s">
        <v>2191</v>
      </c>
      <c r="C111" t="s">
        <v>635</v>
      </c>
      <c r="D111" t="s">
        <v>2192</v>
      </c>
      <c r="E111" t="s">
        <v>109</v>
      </c>
      <c r="F111">
        <v>28</v>
      </c>
      <c r="G111">
        <v>98</v>
      </c>
      <c r="H111">
        <v>251</v>
      </c>
      <c r="I11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2" spans="1:9" x14ac:dyDescent="0.25">
      <c r="A112">
        <v>111</v>
      </c>
      <c r="B112" t="s">
        <v>2226</v>
      </c>
      <c r="C112" t="s">
        <v>628</v>
      </c>
      <c r="D112" t="s">
        <v>2227</v>
      </c>
      <c r="E112" t="s">
        <v>1307</v>
      </c>
      <c r="F112">
        <v>20</v>
      </c>
      <c r="G112">
        <v>113</v>
      </c>
      <c r="H112">
        <v>255</v>
      </c>
      <c r="I11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3" spans="1:9" x14ac:dyDescent="0.25">
      <c r="A113">
        <v>112</v>
      </c>
      <c r="B113" t="s">
        <v>2233</v>
      </c>
      <c r="C113" t="s">
        <v>2234</v>
      </c>
      <c r="D113" t="s">
        <v>2235</v>
      </c>
      <c r="E113" t="s">
        <v>2236</v>
      </c>
      <c r="F113">
        <v>72</v>
      </c>
      <c r="G113">
        <v>116</v>
      </c>
      <c r="H113">
        <v>8</v>
      </c>
      <c r="I11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4" spans="1:9" x14ac:dyDescent="0.25">
      <c r="A114">
        <v>113</v>
      </c>
      <c r="B114" t="s">
        <v>2220</v>
      </c>
      <c r="C114" t="s">
        <v>812</v>
      </c>
      <c r="D114" t="s">
        <v>2221</v>
      </c>
      <c r="E114" t="s">
        <v>1971</v>
      </c>
      <c r="F114">
        <v>18</v>
      </c>
      <c r="G114">
        <v>110</v>
      </c>
      <c r="H114">
        <v>255</v>
      </c>
      <c r="I11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5" spans="1:9" x14ac:dyDescent="0.25">
      <c r="A115">
        <v>114</v>
      </c>
      <c r="B115" t="s">
        <v>2224</v>
      </c>
      <c r="C115" t="s">
        <v>1825</v>
      </c>
      <c r="D115" t="s">
        <v>2225</v>
      </c>
      <c r="E115" t="s">
        <v>1322</v>
      </c>
      <c r="F115">
        <v>27</v>
      </c>
      <c r="G115">
        <v>112</v>
      </c>
      <c r="H115">
        <v>254</v>
      </c>
      <c r="I11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6" spans="1:9" x14ac:dyDescent="0.25">
      <c r="A116">
        <v>115</v>
      </c>
      <c r="B116" t="s">
        <v>2208</v>
      </c>
      <c r="C116" t="s">
        <v>831</v>
      </c>
      <c r="D116" t="s">
        <v>2209</v>
      </c>
      <c r="E116" t="s">
        <v>341</v>
      </c>
      <c r="F116">
        <v>29</v>
      </c>
      <c r="G116">
        <v>105</v>
      </c>
      <c r="H116">
        <v>55</v>
      </c>
      <c r="I11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7" spans="1:9" x14ac:dyDescent="0.25">
      <c r="A117">
        <v>116</v>
      </c>
      <c r="B117" t="s">
        <v>2213</v>
      </c>
      <c r="C117" t="s">
        <v>481</v>
      </c>
      <c r="D117" t="s">
        <v>2214</v>
      </c>
      <c r="E117" t="s">
        <v>1120</v>
      </c>
      <c r="F117">
        <v>1</v>
      </c>
      <c r="G117">
        <v>107</v>
      </c>
      <c r="H117">
        <v>213</v>
      </c>
      <c r="I11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8" spans="1:9" x14ac:dyDescent="0.25">
      <c r="A118">
        <v>117</v>
      </c>
      <c r="B118" t="s">
        <v>2269</v>
      </c>
      <c r="C118" t="s">
        <v>1683</v>
      </c>
      <c r="D118" t="s">
        <v>2270</v>
      </c>
      <c r="E118" t="s">
        <v>1015</v>
      </c>
      <c r="F118">
        <v>28</v>
      </c>
      <c r="G118">
        <v>131</v>
      </c>
      <c r="H118">
        <v>51</v>
      </c>
      <c r="I11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9" spans="1:9" x14ac:dyDescent="0.25">
      <c r="A119">
        <v>118</v>
      </c>
      <c r="B119" t="s">
        <v>2222</v>
      </c>
      <c r="C119" t="s">
        <v>1159</v>
      </c>
      <c r="D119" t="s">
        <v>2223</v>
      </c>
      <c r="E119" t="s">
        <v>2007</v>
      </c>
      <c r="F119">
        <v>3</v>
      </c>
      <c r="G119">
        <v>111</v>
      </c>
      <c r="H119">
        <v>255</v>
      </c>
      <c r="I11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0" spans="1:9" x14ac:dyDescent="0.25">
      <c r="A120">
        <v>119</v>
      </c>
      <c r="B120" t="s">
        <v>2295</v>
      </c>
      <c r="C120" t="s">
        <v>1059</v>
      </c>
      <c r="D120" t="s">
        <v>2296</v>
      </c>
      <c r="E120" t="s">
        <v>1061</v>
      </c>
      <c r="F120">
        <v>1</v>
      </c>
      <c r="G120">
        <v>143</v>
      </c>
      <c r="H120">
        <v>216</v>
      </c>
      <c r="I12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1" spans="1:9" x14ac:dyDescent="0.25">
      <c r="A121">
        <v>120</v>
      </c>
      <c r="B121" t="s">
        <v>2239</v>
      </c>
      <c r="C121" t="s">
        <v>483</v>
      </c>
      <c r="D121" t="s">
        <v>2240</v>
      </c>
      <c r="E121" t="s">
        <v>268</v>
      </c>
      <c r="F121">
        <v>118</v>
      </c>
      <c r="G121">
        <v>118</v>
      </c>
      <c r="H121">
        <v>35</v>
      </c>
      <c r="I12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2" spans="1:9" x14ac:dyDescent="0.25">
      <c r="A122">
        <v>121</v>
      </c>
      <c r="B122" t="s">
        <v>2231</v>
      </c>
      <c r="C122" t="s">
        <v>1150</v>
      </c>
      <c r="D122" t="s">
        <v>2232</v>
      </c>
      <c r="E122" t="s">
        <v>1152</v>
      </c>
      <c r="F122">
        <v>38</v>
      </c>
      <c r="G122">
        <v>115</v>
      </c>
      <c r="H122">
        <v>18</v>
      </c>
      <c r="I12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3" spans="1:9" x14ac:dyDescent="0.25">
      <c r="A123">
        <v>122</v>
      </c>
      <c r="B123" t="s">
        <v>4262</v>
      </c>
      <c r="C123" t="s">
        <v>496</v>
      </c>
      <c r="D123" t="s">
        <v>4263</v>
      </c>
      <c r="E123" t="s">
        <v>1133</v>
      </c>
      <c r="F123">
        <v>122</v>
      </c>
      <c r="G123">
        <v>-1</v>
      </c>
      <c r="H123">
        <v>1</v>
      </c>
      <c r="I123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124" spans="1:9" x14ac:dyDescent="0.25">
      <c r="A124">
        <v>123</v>
      </c>
      <c r="B124" t="s">
        <v>2260</v>
      </c>
      <c r="C124" t="s">
        <v>697</v>
      </c>
      <c r="D124" t="s">
        <v>2261</v>
      </c>
      <c r="E124" t="s">
        <v>2177</v>
      </c>
      <c r="F124">
        <v>94</v>
      </c>
      <c r="G124">
        <v>126</v>
      </c>
      <c r="H124">
        <v>246</v>
      </c>
      <c r="I12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5" spans="1:9" x14ac:dyDescent="0.25">
      <c r="A125">
        <v>124</v>
      </c>
      <c r="B125" t="s">
        <v>2278</v>
      </c>
      <c r="C125" t="s">
        <v>339</v>
      </c>
      <c r="D125" t="s">
        <v>2279</v>
      </c>
      <c r="E125" t="s">
        <v>341</v>
      </c>
      <c r="F125">
        <v>63</v>
      </c>
      <c r="G125">
        <v>135</v>
      </c>
      <c r="H125">
        <v>254</v>
      </c>
      <c r="I12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6" spans="1:9" x14ac:dyDescent="0.25">
      <c r="A126">
        <v>125</v>
      </c>
      <c r="B126" t="s">
        <v>4264</v>
      </c>
      <c r="C126" t="s">
        <v>4265</v>
      </c>
      <c r="D126" t="s">
        <v>4266</v>
      </c>
      <c r="E126" t="s">
        <v>4267</v>
      </c>
      <c r="F126">
        <v>125</v>
      </c>
      <c r="G126">
        <v>-1</v>
      </c>
      <c r="H126">
        <v>1</v>
      </c>
      <c r="I126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127" spans="1:9" x14ac:dyDescent="0.25">
      <c r="A127">
        <v>126</v>
      </c>
      <c r="B127" t="s">
        <v>2287</v>
      </c>
      <c r="C127" t="s">
        <v>573</v>
      </c>
      <c r="D127" t="s">
        <v>2288</v>
      </c>
      <c r="E127" t="s">
        <v>573</v>
      </c>
      <c r="F127">
        <v>1</v>
      </c>
      <c r="G127">
        <v>139</v>
      </c>
      <c r="H127">
        <v>222</v>
      </c>
      <c r="I12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8" spans="1:9" x14ac:dyDescent="0.25">
      <c r="A128">
        <v>127</v>
      </c>
      <c r="B128" t="s">
        <v>2248</v>
      </c>
      <c r="C128" t="s">
        <v>739</v>
      </c>
      <c r="D128" t="s">
        <v>2249</v>
      </c>
      <c r="E128" t="s">
        <v>2250</v>
      </c>
      <c r="F128">
        <v>1</v>
      </c>
      <c r="G128">
        <v>122</v>
      </c>
      <c r="H128">
        <v>109</v>
      </c>
      <c r="I12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9" spans="1:9" x14ac:dyDescent="0.25">
      <c r="A129">
        <v>128</v>
      </c>
      <c r="B129" t="s">
        <v>2293</v>
      </c>
      <c r="C129" t="s">
        <v>1142</v>
      </c>
      <c r="D129" t="s">
        <v>2294</v>
      </c>
      <c r="E129" t="s">
        <v>1144</v>
      </c>
      <c r="F129">
        <v>128</v>
      </c>
      <c r="G129">
        <v>142</v>
      </c>
      <c r="H129">
        <v>8</v>
      </c>
      <c r="I129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130" spans="1:9" x14ac:dyDescent="0.25">
      <c r="A130">
        <v>129</v>
      </c>
      <c r="B130" t="s">
        <v>2246</v>
      </c>
      <c r="C130" t="s">
        <v>710</v>
      </c>
      <c r="D130" t="s">
        <v>2247</v>
      </c>
      <c r="E130" t="s">
        <v>1211</v>
      </c>
      <c r="F130">
        <v>81</v>
      </c>
      <c r="G130">
        <v>121</v>
      </c>
      <c r="H130">
        <v>165</v>
      </c>
      <c r="I13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1" spans="1:9" x14ac:dyDescent="0.25">
      <c r="A131">
        <v>130</v>
      </c>
      <c r="B131" t="s">
        <v>2241</v>
      </c>
      <c r="C131" t="s">
        <v>1709</v>
      </c>
      <c r="D131" t="s">
        <v>2242</v>
      </c>
      <c r="E131" t="s">
        <v>2243</v>
      </c>
      <c r="F131">
        <v>17</v>
      </c>
      <c r="G131">
        <v>119</v>
      </c>
      <c r="H131">
        <v>12</v>
      </c>
      <c r="I13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2" spans="1:9" x14ac:dyDescent="0.25">
      <c r="A132">
        <v>131</v>
      </c>
      <c r="B132" t="s">
        <v>2280</v>
      </c>
      <c r="C132" t="s">
        <v>816</v>
      </c>
      <c r="D132" t="s">
        <v>2281</v>
      </c>
      <c r="E132" t="s">
        <v>2282</v>
      </c>
      <c r="F132">
        <v>1</v>
      </c>
      <c r="G132">
        <v>136</v>
      </c>
      <c r="H132">
        <v>199</v>
      </c>
      <c r="I13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3" spans="1:9" x14ac:dyDescent="0.25">
      <c r="A133">
        <v>132</v>
      </c>
      <c r="B133" t="s">
        <v>2273</v>
      </c>
      <c r="C133" t="s">
        <v>1741</v>
      </c>
      <c r="D133" t="s">
        <v>2274</v>
      </c>
      <c r="E133" t="s">
        <v>2275</v>
      </c>
      <c r="F133">
        <v>60</v>
      </c>
      <c r="G133">
        <v>133</v>
      </c>
      <c r="H133">
        <v>184</v>
      </c>
      <c r="I13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4" spans="1:9" x14ac:dyDescent="0.25">
      <c r="A134">
        <v>133</v>
      </c>
      <c r="B134" t="s">
        <v>2262</v>
      </c>
      <c r="C134" t="s">
        <v>1725</v>
      </c>
      <c r="D134">
        <v>21</v>
      </c>
      <c r="E134" t="s">
        <v>1222</v>
      </c>
      <c r="F134">
        <v>12</v>
      </c>
      <c r="G134">
        <v>127</v>
      </c>
      <c r="H134">
        <v>255</v>
      </c>
      <c r="I13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5" spans="1:9" x14ac:dyDescent="0.25">
      <c r="A135">
        <v>134</v>
      </c>
      <c r="B135" t="s">
        <v>2265</v>
      </c>
      <c r="C135" t="s">
        <v>1610</v>
      </c>
      <c r="D135" t="s">
        <v>2266</v>
      </c>
      <c r="E135" t="s">
        <v>1237</v>
      </c>
      <c r="F135">
        <v>1</v>
      </c>
      <c r="G135">
        <v>129</v>
      </c>
      <c r="H135">
        <v>114</v>
      </c>
      <c r="I13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6" spans="1:9" x14ac:dyDescent="0.25">
      <c r="A136">
        <v>135</v>
      </c>
      <c r="B136" t="s">
        <v>2263</v>
      </c>
      <c r="C136" t="s">
        <v>1690</v>
      </c>
      <c r="D136" t="s">
        <v>2264</v>
      </c>
      <c r="E136" t="s">
        <v>1015</v>
      </c>
      <c r="F136">
        <v>1</v>
      </c>
      <c r="G136">
        <v>128</v>
      </c>
      <c r="H136">
        <v>143</v>
      </c>
      <c r="I13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7" spans="1:9" x14ac:dyDescent="0.25">
      <c r="A137">
        <v>136</v>
      </c>
      <c r="B137" t="s">
        <v>2257</v>
      </c>
      <c r="C137" t="s">
        <v>1500</v>
      </c>
      <c r="D137" t="s">
        <v>2258</v>
      </c>
      <c r="E137" t="s">
        <v>2259</v>
      </c>
      <c r="F137">
        <v>15</v>
      </c>
      <c r="G137">
        <v>125</v>
      </c>
      <c r="H137">
        <v>255</v>
      </c>
      <c r="I13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8" spans="1:9" x14ac:dyDescent="0.25">
      <c r="A138">
        <v>137</v>
      </c>
      <c r="B138" t="s">
        <v>2271</v>
      </c>
      <c r="C138" t="s">
        <v>1130</v>
      </c>
      <c r="D138" t="s">
        <v>2272</v>
      </c>
      <c r="E138" t="s">
        <v>109</v>
      </c>
      <c r="F138">
        <v>93</v>
      </c>
      <c r="G138">
        <v>132</v>
      </c>
      <c r="H138">
        <v>18</v>
      </c>
      <c r="I13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9" spans="1:9" x14ac:dyDescent="0.25">
      <c r="A139">
        <v>138</v>
      </c>
      <c r="B139" t="s">
        <v>2315</v>
      </c>
      <c r="C139" t="s">
        <v>511</v>
      </c>
      <c r="D139" t="s">
        <v>2316</v>
      </c>
      <c r="E139" t="s">
        <v>1341</v>
      </c>
      <c r="F139">
        <v>103</v>
      </c>
      <c r="G139">
        <v>151</v>
      </c>
      <c r="H139">
        <v>68</v>
      </c>
      <c r="I13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0" spans="1:9" x14ac:dyDescent="0.25">
      <c r="A140">
        <v>139</v>
      </c>
      <c r="B140" t="s">
        <v>2050</v>
      </c>
      <c r="C140" t="s">
        <v>1014</v>
      </c>
      <c r="D140" t="s">
        <v>2051</v>
      </c>
      <c r="E140" t="s">
        <v>1015</v>
      </c>
      <c r="F140">
        <v>33</v>
      </c>
      <c r="G140">
        <v>33</v>
      </c>
      <c r="H140">
        <v>2</v>
      </c>
      <c r="I14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1" spans="1:9" x14ac:dyDescent="0.25">
      <c r="A141">
        <v>140</v>
      </c>
      <c r="B141" t="s">
        <v>2237</v>
      </c>
      <c r="C141" t="s">
        <v>790</v>
      </c>
      <c r="D141" t="s">
        <v>2238</v>
      </c>
      <c r="E141" t="s">
        <v>1578</v>
      </c>
      <c r="F141">
        <v>52</v>
      </c>
      <c r="G141">
        <v>117</v>
      </c>
      <c r="H141">
        <v>255</v>
      </c>
      <c r="I14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2" spans="1:9" x14ac:dyDescent="0.25">
      <c r="A142">
        <v>141</v>
      </c>
      <c r="B142" t="s">
        <v>2244</v>
      </c>
      <c r="C142" t="s">
        <v>635</v>
      </c>
      <c r="D142" t="s">
        <v>2245</v>
      </c>
      <c r="E142" t="s">
        <v>109</v>
      </c>
      <c r="F142">
        <v>46</v>
      </c>
      <c r="G142">
        <v>120</v>
      </c>
      <c r="H142">
        <v>152</v>
      </c>
      <c r="I14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3" spans="1:9" x14ac:dyDescent="0.25">
      <c r="A143">
        <v>142</v>
      </c>
      <c r="B143" t="s">
        <v>2297</v>
      </c>
      <c r="C143" t="s">
        <v>1288</v>
      </c>
      <c r="D143" t="s">
        <v>2298</v>
      </c>
      <c r="E143" t="s">
        <v>341</v>
      </c>
      <c r="F143">
        <v>1</v>
      </c>
      <c r="G143">
        <v>144</v>
      </c>
      <c r="H143">
        <v>44</v>
      </c>
      <c r="I14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4" spans="1:9" x14ac:dyDescent="0.25">
      <c r="A144">
        <v>143</v>
      </c>
      <c r="B144" t="s">
        <v>2218</v>
      </c>
      <c r="C144" t="s">
        <v>814</v>
      </c>
      <c r="D144" t="s">
        <v>2219</v>
      </c>
      <c r="E144" t="s">
        <v>1562</v>
      </c>
      <c r="F144">
        <v>92</v>
      </c>
      <c r="G144">
        <v>109</v>
      </c>
      <c r="H144">
        <v>252</v>
      </c>
      <c r="I14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5" spans="1:9" x14ac:dyDescent="0.25">
      <c r="A145">
        <v>144</v>
      </c>
      <c r="B145" t="s">
        <v>2289</v>
      </c>
      <c r="C145" t="s">
        <v>1629</v>
      </c>
      <c r="D145" t="s">
        <v>2290</v>
      </c>
      <c r="E145" t="s">
        <v>1383</v>
      </c>
      <c r="F145">
        <v>1</v>
      </c>
      <c r="G145">
        <v>140</v>
      </c>
      <c r="H145">
        <v>54</v>
      </c>
      <c r="I14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6" spans="1:9" x14ac:dyDescent="0.25">
      <c r="A146">
        <v>145</v>
      </c>
      <c r="B146" t="s">
        <v>2285</v>
      </c>
      <c r="C146" t="s">
        <v>1550</v>
      </c>
      <c r="D146" t="s">
        <v>2286</v>
      </c>
      <c r="E146" t="s">
        <v>1551</v>
      </c>
      <c r="F146">
        <v>125</v>
      </c>
      <c r="G146">
        <v>138</v>
      </c>
      <c r="H146">
        <v>11</v>
      </c>
      <c r="I14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7" spans="1:9" x14ac:dyDescent="0.25">
      <c r="A147">
        <v>146</v>
      </c>
      <c r="B147" t="s">
        <v>2215</v>
      </c>
      <c r="C147" t="s">
        <v>2216</v>
      </c>
      <c r="D147" t="s">
        <v>2217</v>
      </c>
      <c r="E147" t="s">
        <v>2205</v>
      </c>
      <c r="F147">
        <v>3</v>
      </c>
      <c r="G147">
        <v>108</v>
      </c>
      <c r="H147">
        <v>7</v>
      </c>
      <c r="I14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8" spans="1:9" x14ac:dyDescent="0.25">
      <c r="A148">
        <v>147</v>
      </c>
      <c r="B148" t="s">
        <v>2283</v>
      </c>
      <c r="C148" t="s">
        <v>1743</v>
      </c>
      <c r="D148" t="s">
        <v>2284</v>
      </c>
      <c r="E148" t="s">
        <v>1161</v>
      </c>
      <c r="F148">
        <v>11</v>
      </c>
      <c r="G148">
        <v>137</v>
      </c>
      <c r="H148">
        <v>15</v>
      </c>
      <c r="I14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9" spans="1:9" x14ac:dyDescent="0.25">
      <c r="A149">
        <v>148</v>
      </c>
      <c r="B149" t="s">
        <v>2267</v>
      </c>
      <c r="C149" t="s">
        <v>1522</v>
      </c>
      <c r="D149" t="s">
        <v>2268</v>
      </c>
      <c r="E149" t="s">
        <v>1524</v>
      </c>
      <c r="F149">
        <v>61</v>
      </c>
      <c r="G149">
        <v>130</v>
      </c>
      <c r="H149">
        <v>249</v>
      </c>
      <c r="I14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0" spans="1:9" x14ac:dyDescent="0.25">
      <c r="A150">
        <v>149</v>
      </c>
      <c r="B150" t="s">
        <v>2335</v>
      </c>
      <c r="C150" t="s">
        <v>1146</v>
      </c>
      <c r="D150" t="s">
        <v>2336</v>
      </c>
      <c r="E150" t="s">
        <v>1148</v>
      </c>
      <c r="F150">
        <v>111</v>
      </c>
      <c r="G150">
        <v>159</v>
      </c>
      <c r="H150">
        <v>91</v>
      </c>
      <c r="I15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1" spans="1:9" x14ac:dyDescent="0.25">
      <c r="A151">
        <v>150</v>
      </c>
      <c r="B151" t="s">
        <v>2319</v>
      </c>
      <c r="C151" t="s">
        <v>818</v>
      </c>
      <c r="D151" t="s">
        <v>2320</v>
      </c>
      <c r="E151" t="s">
        <v>2321</v>
      </c>
      <c r="F151">
        <v>72</v>
      </c>
      <c r="G151">
        <v>153</v>
      </c>
      <c r="H151">
        <v>109</v>
      </c>
      <c r="I15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2" spans="1:9" x14ac:dyDescent="0.25">
      <c r="A152">
        <v>151</v>
      </c>
      <c r="B152" t="s">
        <v>2291</v>
      </c>
      <c r="C152" t="s">
        <v>1961</v>
      </c>
      <c r="D152" t="s">
        <v>2292</v>
      </c>
      <c r="E152" t="s">
        <v>1963</v>
      </c>
      <c r="F152">
        <v>11</v>
      </c>
      <c r="G152">
        <v>141</v>
      </c>
      <c r="H152">
        <v>255</v>
      </c>
      <c r="I15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3" spans="1:9" x14ac:dyDescent="0.25">
      <c r="A153">
        <v>152</v>
      </c>
      <c r="B153" t="s">
        <v>2302</v>
      </c>
      <c r="C153" t="s">
        <v>858</v>
      </c>
      <c r="D153" t="s">
        <v>2303</v>
      </c>
      <c r="E153" t="s">
        <v>268</v>
      </c>
      <c r="F153">
        <v>110</v>
      </c>
      <c r="G153">
        <v>146</v>
      </c>
      <c r="H153">
        <v>138</v>
      </c>
      <c r="I15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4" spans="1:9" x14ac:dyDescent="0.25">
      <c r="A154">
        <v>153</v>
      </c>
      <c r="B154" t="s">
        <v>2309</v>
      </c>
      <c r="C154" t="s">
        <v>1767</v>
      </c>
      <c r="D154" t="s">
        <v>2310</v>
      </c>
      <c r="E154" t="s">
        <v>2311</v>
      </c>
      <c r="F154">
        <v>26</v>
      </c>
      <c r="G154">
        <v>149</v>
      </c>
      <c r="H154">
        <v>43</v>
      </c>
      <c r="I15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5" spans="1:9" x14ac:dyDescent="0.25">
      <c r="A155">
        <v>154</v>
      </c>
      <c r="B155" t="s">
        <v>2312</v>
      </c>
      <c r="C155" t="s">
        <v>723</v>
      </c>
      <c r="D155" t="s">
        <v>2313</v>
      </c>
      <c r="E155" t="s">
        <v>2314</v>
      </c>
      <c r="F155">
        <v>12</v>
      </c>
      <c r="G155">
        <v>150</v>
      </c>
      <c r="H155">
        <v>255</v>
      </c>
      <c r="I15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6" spans="1:9" x14ac:dyDescent="0.25">
      <c r="A156">
        <v>155</v>
      </c>
      <c r="B156" t="s">
        <v>2304</v>
      </c>
      <c r="C156" t="s">
        <v>620</v>
      </c>
      <c r="D156" t="s">
        <v>2305</v>
      </c>
      <c r="E156" t="s">
        <v>1972</v>
      </c>
      <c r="F156">
        <v>1</v>
      </c>
      <c r="G156">
        <v>147</v>
      </c>
      <c r="H156">
        <v>231</v>
      </c>
      <c r="I15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7" spans="1:9" x14ac:dyDescent="0.25">
      <c r="A157">
        <v>156</v>
      </c>
      <c r="B157" t="s">
        <v>2276</v>
      </c>
      <c r="C157" t="s">
        <v>814</v>
      </c>
      <c r="D157" t="s">
        <v>2277</v>
      </c>
      <c r="E157" t="s">
        <v>1562</v>
      </c>
      <c r="F157">
        <v>49</v>
      </c>
      <c r="G157">
        <v>134</v>
      </c>
      <c r="H157">
        <v>253</v>
      </c>
      <c r="I15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8" spans="1:9" x14ac:dyDescent="0.25">
      <c r="A158">
        <v>157</v>
      </c>
      <c r="B158" t="s">
        <v>2299</v>
      </c>
      <c r="C158" t="s">
        <v>1813</v>
      </c>
      <c r="D158" t="s">
        <v>2300</v>
      </c>
      <c r="E158" t="s">
        <v>2301</v>
      </c>
      <c r="F158">
        <v>60</v>
      </c>
      <c r="G158">
        <v>145</v>
      </c>
      <c r="H158">
        <v>245</v>
      </c>
      <c r="I15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9" spans="1:9" x14ac:dyDescent="0.25">
      <c r="A159">
        <v>158</v>
      </c>
      <c r="B159" t="s">
        <v>2322</v>
      </c>
      <c r="C159" t="s">
        <v>1603</v>
      </c>
      <c r="D159" t="s">
        <v>2323</v>
      </c>
      <c r="E159" t="s">
        <v>2172</v>
      </c>
      <c r="F159">
        <v>4</v>
      </c>
      <c r="G159">
        <v>154</v>
      </c>
      <c r="H159">
        <v>211</v>
      </c>
      <c r="I15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0" spans="1:9" x14ac:dyDescent="0.25">
      <c r="A160">
        <v>159</v>
      </c>
      <c r="B160" t="s">
        <v>2306</v>
      </c>
      <c r="C160" t="s">
        <v>2307</v>
      </c>
      <c r="D160" t="s">
        <v>2308</v>
      </c>
      <c r="E160" t="s">
        <v>1124</v>
      </c>
      <c r="F160">
        <v>30</v>
      </c>
      <c r="G160">
        <v>148</v>
      </c>
      <c r="H160">
        <v>27</v>
      </c>
      <c r="I16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1" spans="1:9" x14ac:dyDescent="0.25">
      <c r="A161">
        <v>160</v>
      </c>
      <c r="B161" t="s">
        <v>2253</v>
      </c>
      <c r="C161" t="s">
        <v>2254</v>
      </c>
      <c r="D161" t="s">
        <v>2255</v>
      </c>
      <c r="E161" t="s">
        <v>2256</v>
      </c>
      <c r="F161">
        <v>7</v>
      </c>
      <c r="G161">
        <v>124</v>
      </c>
      <c r="H161">
        <v>26</v>
      </c>
      <c r="I16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2" spans="1:9" x14ac:dyDescent="0.25">
      <c r="A162">
        <v>161</v>
      </c>
      <c r="B162" t="s">
        <v>2317</v>
      </c>
      <c r="C162" t="s">
        <v>329</v>
      </c>
      <c r="D162" t="s">
        <v>2318</v>
      </c>
      <c r="E162" t="s">
        <v>268</v>
      </c>
      <c r="F162">
        <v>3</v>
      </c>
      <c r="G162">
        <v>152</v>
      </c>
      <c r="H162">
        <v>41</v>
      </c>
      <c r="I16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3" spans="1:9" x14ac:dyDescent="0.25">
      <c r="A163">
        <v>162</v>
      </c>
      <c r="B163" t="s">
        <v>2337</v>
      </c>
      <c r="C163" t="s">
        <v>1590</v>
      </c>
      <c r="D163" t="s">
        <v>2338</v>
      </c>
      <c r="E163" t="s">
        <v>1590</v>
      </c>
      <c r="F163">
        <v>1</v>
      </c>
      <c r="G163">
        <v>160</v>
      </c>
      <c r="H163">
        <v>241</v>
      </c>
      <c r="I16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4" spans="1:9" x14ac:dyDescent="0.25">
      <c r="A164">
        <v>163</v>
      </c>
      <c r="B164" t="s">
        <v>2364</v>
      </c>
      <c r="C164" t="s">
        <v>1732</v>
      </c>
      <c r="D164" t="s">
        <v>2365</v>
      </c>
      <c r="E164" t="s">
        <v>1921</v>
      </c>
      <c r="F164">
        <v>122</v>
      </c>
      <c r="G164">
        <v>172</v>
      </c>
      <c r="H164">
        <v>45</v>
      </c>
      <c r="I16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5" spans="1:9" x14ac:dyDescent="0.25">
      <c r="A165">
        <v>164</v>
      </c>
      <c r="B165" t="s">
        <v>2324</v>
      </c>
      <c r="C165" t="s">
        <v>1409</v>
      </c>
      <c r="D165" t="s">
        <v>2325</v>
      </c>
      <c r="E165" t="s">
        <v>1411</v>
      </c>
      <c r="F165">
        <v>59</v>
      </c>
      <c r="G165">
        <v>155</v>
      </c>
      <c r="H165">
        <v>18</v>
      </c>
      <c r="I16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6" spans="1:9" x14ac:dyDescent="0.25">
      <c r="A166">
        <v>165</v>
      </c>
      <c r="B166" t="s">
        <v>2193</v>
      </c>
      <c r="C166" t="s">
        <v>2194</v>
      </c>
      <c r="D166" t="s">
        <v>2195</v>
      </c>
      <c r="E166" t="s">
        <v>1949</v>
      </c>
      <c r="F166">
        <v>99</v>
      </c>
      <c r="G166">
        <v>99</v>
      </c>
      <c r="H166">
        <v>2</v>
      </c>
      <c r="I16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7" spans="1:9" x14ac:dyDescent="0.25">
      <c r="A167">
        <v>166</v>
      </c>
      <c r="B167" t="s">
        <v>2251</v>
      </c>
      <c r="C167" t="s">
        <v>1493</v>
      </c>
      <c r="D167" t="s">
        <v>2252</v>
      </c>
      <c r="E167" t="s">
        <v>109</v>
      </c>
      <c r="F167">
        <v>80</v>
      </c>
      <c r="G167">
        <v>123</v>
      </c>
      <c r="H167">
        <v>4</v>
      </c>
      <c r="I16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8" spans="1:9" x14ac:dyDescent="0.25">
      <c r="A168">
        <v>167</v>
      </c>
      <c r="B168" t="s">
        <v>2348</v>
      </c>
      <c r="C168" t="s">
        <v>723</v>
      </c>
      <c r="D168" t="s">
        <v>4268</v>
      </c>
      <c r="E168" t="s">
        <v>1267</v>
      </c>
      <c r="F168">
        <v>37</v>
      </c>
      <c r="G168">
        <v>166</v>
      </c>
      <c r="H168">
        <v>112</v>
      </c>
      <c r="I16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9" spans="1:9" x14ac:dyDescent="0.25">
      <c r="A169">
        <v>168</v>
      </c>
      <c r="B169" t="s">
        <v>2356</v>
      </c>
      <c r="C169" t="s">
        <v>816</v>
      </c>
      <c r="D169" t="s">
        <v>2357</v>
      </c>
      <c r="E169" t="s">
        <v>1528</v>
      </c>
      <c r="F169">
        <v>80</v>
      </c>
      <c r="G169">
        <v>169</v>
      </c>
      <c r="H169">
        <v>197</v>
      </c>
      <c r="I16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0" spans="1:9" x14ac:dyDescent="0.25">
      <c r="A170">
        <v>169</v>
      </c>
      <c r="B170" t="s">
        <v>2353</v>
      </c>
      <c r="C170" t="s">
        <v>816</v>
      </c>
      <c r="D170" t="s">
        <v>2354</v>
      </c>
      <c r="E170" t="s">
        <v>2355</v>
      </c>
      <c r="F170">
        <v>54</v>
      </c>
      <c r="G170">
        <v>168</v>
      </c>
      <c r="H170">
        <v>210</v>
      </c>
      <c r="I17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1" spans="1:9" x14ac:dyDescent="0.25">
      <c r="A171">
        <v>170</v>
      </c>
      <c r="B171" t="s">
        <v>2341</v>
      </c>
      <c r="C171" t="s">
        <v>2342</v>
      </c>
      <c r="D171" t="s">
        <v>2343</v>
      </c>
      <c r="E171" t="s">
        <v>341</v>
      </c>
      <c r="F171">
        <v>40</v>
      </c>
      <c r="G171">
        <v>163</v>
      </c>
      <c r="H171">
        <v>237</v>
      </c>
      <c r="I17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2" spans="1:9" x14ac:dyDescent="0.25">
      <c r="A172">
        <v>171</v>
      </c>
      <c r="B172" t="s">
        <v>2383</v>
      </c>
      <c r="C172" t="s">
        <v>1802</v>
      </c>
      <c r="D172" t="s">
        <v>2384</v>
      </c>
      <c r="E172" t="s">
        <v>2334</v>
      </c>
      <c r="F172">
        <v>140</v>
      </c>
      <c r="G172">
        <v>181</v>
      </c>
      <c r="H172">
        <v>22</v>
      </c>
      <c r="I17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3" spans="1:9" x14ac:dyDescent="0.25">
      <c r="A173">
        <v>172</v>
      </c>
      <c r="B173" t="s">
        <v>2329</v>
      </c>
      <c r="C173" t="s">
        <v>1563</v>
      </c>
      <c r="D173" t="s">
        <v>2330</v>
      </c>
      <c r="E173" t="s">
        <v>341</v>
      </c>
      <c r="F173">
        <v>4</v>
      </c>
      <c r="G173">
        <v>157</v>
      </c>
      <c r="H173">
        <v>253</v>
      </c>
      <c r="I17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4" spans="1:9" x14ac:dyDescent="0.25">
      <c r="A174">
        <v>173</v>
      </c>
      <c r="B174" t="s">
        <v>2326</v>
      </c>
      <c r="C174" t="s">
        <v>1177</v>
      </c>
      <c r="D174" t="s">
        <v>2327</v>
      </c>
      <c r="E174" t="s">
        <v>2328</v>
      </c>
      <c r="F174">
        <v>12</v>
      </c>
      <c r="G174">
        <v>156</v>
      </c>
      <c r="H174">
        <v>96</v>
      </c>
      <c r="I17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5" spans="1:9" x14ac:dyDescent="0.25">
      <c r="A175">
        <v>174</v>
      </c>
      <c r="B175" t="s">
        <v>2385</v>
      </c>
      <c r="C175" t="s">
        <v>863</v>
      </c>
      <c r="D175" t="s">
        <v>2386</v>
      </c>
      <c r="E175" t="s">
        <v>1329</v>
      </c>
      <c r="F175">
        <v>43</v>
      </c>
      <c r="G175">
        <v>182</v>
      </c>
      <c r="H175">
        <v>240</v>
      </c>
      <c r="I17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6" spans="1:9" x14ac:dyDescent="0.25">
      <c r="A176">
        <v>175</v>
      </c>
      <c r="B176" t="s">
        <v>2344</v>
      </c>
      <c r="C176" t="s">
        <v>496</v>
      </c>
      <c r="D176" t="s">
        <v>2345</v>
      </c>
      <c r="E176" t="s">
        <v>1133</v>
      </c>
      <c r="F176">
        <v>15</v>
      </c>
      <c r="G176">
        <v>164</v>
      </c>
      <c r="H176">
        <v>128</v>
      </c>
      <c r="I17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7" spans="1:9" x14ac:dyDescent="0.25">
      <c r="A177">
        <v>176</v>
      </c>
      <c r="B177" t="s">
        <v>2362</v>
      </c>
      <c r="C177" t="s">
        <v>1965</v>
      </c>
      <c r="D177" t="s">
        <v>2363</v>
      </c>
      <c r="E177" t="s">
        <v>341</v>
      </c>
      <c r="F177">
        <v>11</v>
      </c>
      <c r="G177">
        <v>171</v>
      </c>
      <c r="H177">
        <v>12</v>
      </c>
      <c r="I17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8" spans="1:9" x14ac:dyDescent="0.25">
      <c r="A178">
        <v>177</v>
      </c>
      <c r="B178" t="s">
        <v>2392</v>
      </c>
      <c r="C178" t="s">
        <v>816</v>
      </c>
      <c r="D178" t="s">
        <v>2393</v>
      </c>
      <c r="E178" t="s">
        <v>1457</v>
      </c>
      <c r="F178">
        <v>1</v>
      </c>
      <c r="G178">
        <v>187</v>
      </c>
      <c r="H178">
        <v>82</v>
      </c>
      <c r="I17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9" spans="1:9" x14ac:dyDescent="0.25">
      <c r="A179">
        <v>178</v>
      </c>
      <c r="B179" t="s">
        <v>2339</v>
      </c>
      <c r="C179" t="s">
        <v>1563</v>
      </c>
      <c r="D179" t="s">
        <v>2340</v>
      </c>
      <c r="E179" t="s">
        <v>341</v>
      </c>
      <c r="F179">
        <v>1</v>
      </c>
      <c r="G179">
        <v>161</v>
      </c>
      <c r="H179">
        <v>171</v>
      </c>
      <c r="I17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0" spans="1:9" x14ac:dyDescent="0.25">
      <c r="A180">
        <v>179</v>
      </c>
      <c r="B180" t="s">
        <v>2346</v>
      </c>
      <c r="C180" t="s">
        <v>1262</v>
      </c>
      <c r="D180" t="s">
        <v>2347</v>
      </c>
      <c r="E180" t="s">
        <v>1264</v>
      </c>
      <c r="F180">
        <v>53</v>
      </c>
      <c r="G180">
        <v>165</v>
      </c>
      <c r="H180">
        <v>34</v>
      </c>
      <c r="I18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1" spans="1:9" x14ac:dyDescent="0.25">
      <c r="A181">
        <v>180</v>
      </c>
      <c r="B181" t="s">
        <v>2349</v>
      </c>
      <c r="C181" t="s">
        <v>2350</v>
      </c>
      <c r="D181" t="s">
        <v>2351</v>
      </c>
      <c r="E181" t="s">
        <v>2352</v>
      </c>
      <c r="F181">
        <v>167</v>
      </c>
      <c r="G181">
        <v>167</v>
      </c>
      <c r="H181">
        <v>12</v>
      </c>
      <c r="I18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2" spans="1:9" x14ac:dyDescent="0.25">
      <c r="A182">
        <v>181</v>
      </c>
      <c r="B182" t="s">
        <v>2371</v>
      </c>
      <c r="C182" t="s">
        <v>1788</v>
      </c>
      <c r="D182" t="s">
        <v>2372</v>
      </c>
      <c r="E182" t="s">
        <v>2373</v>
      </c>
      <c r="F182">
        <v>71</v>
      </c>
      <c r="G182">
        <v>175</v>
      </c>
      <c r="H182">
        <v>171</v>
      </c>
      <c r="I18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3" spans="1:9" x14ac:dyDescent="0.25">
      <c r="A183">
        <v>182</v>
      </c>
      <c r="B183" t="s">
        <v>4269</v>
      </c>
      <c r="C183" t="s">
        <v>1544</v>
      </c>
      <c r="D183" t="s">
        <v>4270</v>
      </c>
      <c r="E183" t="s">
        <v>1544</v>
      </c>
      <c r="F183">
        <v>62</v>
      </c>
      <c r="G183">
        <v>-1</v>
      </c>
      <c r="H183">
        <v>40</v>
      </c>
      <c r="I18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4" spans="1:9" x14ac:dyDescent="0.25">
      <c r="A184">
        <v>183</v>
      </c>
      <c r="B184" t="s">
        <v>2358</v>
      </c>
      <c r="C184" t="s">
        <v>2359</v>
      </c>
      <c r="D184" t="s">
        <v>2360</v>
      </c>
      <c r="E184" t="s">
        <v>2361</v>
      </c>
      <c r="F184">
        <v>107</v>
      </c>
      <c r="G184">
        <v>170</v>
      </c>
      <c r="H184">
        <v>201</v>
      </c>
      <c r="I18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5" spans="1:9" x14ac:dyDescent="0.25">
      <c r="A185">
        <v>184</v>
      </c>
      <c r="B185" t="s">
        <v>2366</v>
      </c>
      <c r="C185" t="s">
        <v>745</v>
      </c>
      <c r="D185" t="s">
        <v>2367</v>
      </c>
      <c r="E185" t="s">
        <v>2368</v>
      </c>
      <c r="F185">
        <v>136</v>
      </c>
      <c r="G185">
        <v>173</v>
      </c>
      <c r="H185">
        <v>92</v>
      </c>
      <c r="I18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6" spans="1:9" x14ac:dyDescent="0.25">
      <c r="A186">
        <v>185</v>
      </c>
      <c r="B186" t="s">
        <v>2331</v>
      </c>
      <c r="C186" t="s">
        <v>2332</v>
      </c>
      <c r="D186" t="s">
        <v>2333</v>
      </c>
      <c r="E186" t="s">
        <v>2334</v>
      </c>
      <c r="F186">
        <v>104</v>
      </c>
      <c r="G186">
        <v>158</v>
      </c>
      <c r="H186">
        <v>33</v>
      </c>
      <c r="I18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7" spans="1:9" x14ac:dyDescent="0.25">
      <c r="A187">
        <v>186</v>
      </c>
      <c r="B187" t="s">
        <v>2403</v>
      </c>
      <c r="C187" t="s">
        <v>1673</v>
      </c>
      <c r="D187" t="s">
        <v>2404</v>
      </c>
      <c r="E187" t="s">
        <v>1673</v>
      </c>
      <c r="F187">
        <v>14</v>
      </c>
      <c r="G187">
        <v>192</v>
      </c>
      <c r="H187">
        <v>90</v>
      </c>
      <c r="I18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8" spans="1:9" x14ac:dyDescent="0.25">
      <c r="A188">
        <v>187</v>
      </c>
      <c r="B188" t="s">
        <v>2369</v>
      </c>
      <c r="C188" t="s">
        <v>745</v>
      </c>
      <c r="D188" t="s">
        <v>2370</v>
      </c>
      <c r="E188" t="s">
        <v>2368</v>
      </c>
      <c r="F188">
        <v>138</v>
      </c>
      <c r="G188">
        <v>174</v>
      </c>
      <c r="H188">
        <v>78</v>
      </c>
      <c r="I18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9" spans="1:9" x14ac:dyDescent="0.25">
      <c r="A189">
        <v>188</v>
      </c>
      <c r="B189" t="s">
        <v>2379</v>
      </c>
      <c r="C189" t="s">
        <v>2380</v>
      </c>
      <c r="D189" t="s">
        <v>2381</v>
      </c>
      <c r="E189" t="s">
        <v>2382</v>
      </c>
      <c r="F189">
        <v>140</v>
      </c>
      <c r="G189">
        <v>180</v>
      </c>
      <c r="H189">
        <v>69</v>
      </c>
      <c r="I18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0" spans="1:9" x14ac:dyDescent="0.25">
      <c r="A190">
        <v>189</v>
      </c>
      <c r="B190" t="s">
        <v>2397</v>
      </c>
      <c r="C190" t="s">
        <v>1675</v>
      </c>
      <c r="D190" t="s">
        <v>2398</v>
      </c>
      <c r="E190" t="s">
        <v>2399</v>
      </c>
      <c r="F190">
        <v>9</v>
      </c>
      <c r="G190">
        <v>190</v>
      </c>
      <c r="H190">
        <v>255</v>
      </c>
      <c r="I19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1" spans="1:9" x14ac:dyDescent="0.25">
      <c r="A191">
        <v>190</v>
      </c>
      <c r="B191" t="s">
        <v>2378</v>
      </c>
      <c r="C191" t="s">
        <v>1362</v>
      </c>
      <c r="D191" t="s">
        <v>1504</v>
      </c>
      <c r="E191" t="s">
        <v>1364</v>
      </c>
      <c r="F191">
        <v>139</v>
      </c>
      <c r="G191">
        <v>179</v>
      </c>
      <c r="H191">
        <v>24</v>
      </c>
      <c r="I19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2" spans="1:9" x14ac:dyDescent="0.25">
      <c r="A192">
        <v>191</v>
      </c>
      <c r="B192" t="s">
        <v>2387</v>
      </c>
      <c r="C192" t="s">
        <v>1715</v>
      </c>
      <c r="D192" t="s">
        <v>2388</v>
      </c>
      <c r="E192" t="s">
        <v>2389</v>
      </c>
      <c r="F192">
        <v>7</v>
      </c>
      <c r="G192">
        <v>184</v>
      </c>
      <c r="H192">
        <v>254</v>
      </c>
      <c r="I19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3" spans="1:9" x14ac:dyDescent="0.25">
      <c r="A193">
        <v>192</v>
      </c>
      <c r="B193" t="s">
        <v>2376</v>
      </c>
      <c r="C193" t="s">
        <v>1447</v>
      </c>
      <c r="D193" t="s">
        <v>2377</v>
      </c>
      <c r="E193" t="s">
        <v>1124</v>
      </c>
      <c r="F193">
        <v>126</v>
      </c>
      <c r="G193">
        <v>178</v>
      </c>
      <c r="H193">
        <v>9</v>
      </c>
      <c r="I19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4" spans="1:9" x14ac:dyDescent="0.25">
      <c r="A194">
        <v>193</v>
      </c>
      <c r="B194" t="s">
        <v>2390</v>
      </c>
      <c r="C194" t="s">
        <v>831</v>
      </c>
      <c r="D194" t="s">
        <v>2391</v>
      </c>
      <c r="E194" t="s">
        <v>341</v>
      </c>
      <c r="F194">
        <v>90</v>
      </c>
      <c r="G194">
        <v>186</v>
      </c>
      <c r="H194">
        <v>127</v>
      </c>
      <c r="I19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5" spans="1:9" x14ac:dyDescent="0.25">
      <c r="A195">
        <v>194</v>
      </c>
      <c r="B195" t="s">
        <v>2374</v>
      </c>
      <c r="C195" t="s">
        <v>495</v>
      </c>
      <c r="D195" t="s">
        <v>2375</v>
      </c>
      <c r="E195" t="s">
        <v>1214</v>
      </c>
      <c r="F195">
        <v>66</v>
      </c>
      <c r="G195">
        <v>177</v>
      </c>
      <c r="H195">
        <v>200</v>
      </c>
      <c r="I19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6" spans="1:9" x14ac:dyDescent="0.25">
      <c r="A196">
        <v>195</v>
      </c>
      <c r="B196" t="s">
        <v>2394</v>
      </c>
      <c r="C196" t="s">
        <v>1773</v>
      </c>
      <c r="D196" t="s">
        <v>2395</v>
      </c>
      <c r="E196" t="s">
        <v>2396</v>
      </c>
      <c r="F196">
        <v>65</v>
      </c>
      <c r="G196">
        <v>188</v>
      </c>
      <c r="H196">
        <v>230</v>
      </c>
      <c r="I19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7" spans="1:9" x14ac:dyDescent="0.25">
      <c r="A197">
        <v>196</v>
      </c>
      <c r="B197" t="s">
        <v>4271</v>
      </c>
      <c r="C197" t="s">
        <v>3797</v>
      </c>
      <c r="D197" t="s">
        <v>4272</v>
      </c>
      <c r="E197" t="s">
        <v>1164</v>
      </c>
      <c r="F197">
        <v>177</v>
      </c>
      <c r="G197">
        <v>-1</v>
      </c>
      <c r="H197">
        <v>12</v>
      </c>
      <c r="I19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8" spans="1:9" x14ac:dyDescent="0.25">
      <c r="A198">
        <v>197</v>
      </c>
      <c r="B198" t="s">
        <v>2405</v>
      </c>
      <c r="C198" t="s">
        <v>2406</v>
      </c>
      <c r="D198" t="s">
        <v>2407</v>
      </c>
      <c r="E198" t="s">
        <v>1443</v>
      </c>
      <c r="F198">
        <v>14</v>
      </c>
      <c r="G198">
        <v>199</v>
      </c>
      <c r="H198">
        <v>54</v>
      </c>
      <c r="I19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9" spans="1:9" x14ac:dyDescent="0.25">
      <c r="A199">
        <v>198</v>
      </c>
      <c r="B199" t="s">
        <v>4273</v>
      </c>
      <c r="C199" t="s">
        <v>863</v>
      </c>
      <c r="D199" t="s">
        <v>4274</v>
      </c>
      <c r="E199" t="s">
        <v>1329</v>
      </c>
      <c r="F199">
        <v>1</v>
      </c>
      <c r="G199">
        <v>-1</v>
      </c>
      <c r="H199">
        <v>178</v>
      </c>
      <c r="I19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0" spans="1:9" x14ac:dyDescent="0.25">
      <c r="A200">
        <v>199</v>
      </c>
      <c r="B200" t="s">
        <v>2400</v>
      </c>
      <c r="C200" t="s">
        <v>1760</v>
      </c>
      <c r="D200" t="s">
        <v>2401</v>
      </c>
      <c r="E200" t="s">
        <v>2402</v>
      </c>
      <c r="F200">
        <v>18</v>
      </c>
      <c r="G200">
        <v>191</v>
      </c>
      <c r="H200">
        <v>254</v>
      </c>
      <c r="I20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1" spans="1:9" x14ac:dyDescent="0.25">
      <c r="A201">
        <v>200</v>
      </c>
      <c r="B201" t="s">
        <v>4275</v>
      </c>
      <c r="C201" t="s">
        <v>1532</v>
      </c>
      <c r="D201" t="s">
        <v>4276</v>
      </c>
      <c r="E201" t="s">
        <v>1534</v>
      </c>
      <c r="F201">
        <v>120</v>
      </c>
      <c r="G201">
        <v>-1</v>
      </c>
      <c r="H201">
        <v>172</v>
      </c>
      <c r="I20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2DE3F-CEF2-438F-A8B2-ED9B51E05585}">
  <sheetPr codeName="Planilha12"/>
  <dimension ref="A1:J201"/>
  <sheetViews>
    <sheetView topLeftCell="D1" zoomScale="90" zoomScaleNormal="90" workbookViewId="0">
      <selection activeCell="E11" sqref="E11"/>
    </sheetView>
  </sheetViews>
  <sheetFormatPr defaultRowHeight="15" x14ac:dyDescent="0.25"/>
  <cols>
    <col min="1" max="1" width="7.42578125" bestFit="1" customWidth="1"/>
    <col min="2" max="2" width="40.7109375" bestFit="1" customWidth="1"/>
    <col min="3" max="3" width="81.140625" bestFit="1" customWidth="1"/>
    <col min="4" max="4" width="58.42578125" bestFit="1" customWidth="1"/>
    <col min="5" max="5" width="42.8554687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0.5703125" bestFit="1" customWidth="1"/>
    <col min="10" max="10" width="11.5703125" style="3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1956</v>
      </c>
      <c r="I1" t="s">
        <v>8</v>
      </c>
      <c r="J1" s="3" t="s">
        <v>1108</v>
      </c>
    </row>
    <row r="2" spans="1:10" x14ac:dyDescent="0.25">
      <c r="A2">
        <v>1</v>
      </c>
      <c r="B2" t="s">
        <v>9</v>
      </c>
      <c r="C2" t="s">
        <v>10</v>
      </c>
      <c r="D2" t="s">
        <v>11</v>
      </c>
      <c r="E2" t="s">
        <v>12</v>
      </c>
      <c r="F2">
        <v>1</v>
      </c>
      <c r="G2">
        <v>1</v>
      </c>
      <c r="H2">
        <v>18</v>
      </c>
      <c r="I2">
        <v>10281925</v>
      </c>
      <c r="J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3" spans="1:10" x14ac:dyDescent="0.25">
      <c r="A3">
        <v>2</v>
      </c>
      <c r="B3" t="s">
        <v>13</v>
      </c>
      <c r="C3" t="s">
        <v>14</v>
      </c>
      <c r="D3" t="s">
        <v>15</v>
      </c>
      <c r="E3" t="s">
        <v>16</v>
      </c>
      <c r="F3">
        <v>1</v>
      </c>
      <c r="G3">
        <v>2</v>
      </c>
      <c r="H3">
        <v>16</v>
      </c>
      <c r="I3">
        <v>7026616</v>
      </c>
      <c r="J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" spans="1:10" x14ac:dyDescent="0.25">
      <c r="A4">
        <v>3</v>
      </c>
      <c r="B4" t="s">
        <v>1049</v>
      </c>
      <c r="C4" t="s">
        <v>1050</v>
      </c>
      <c r="D4" t="s">
        <v>1051</v>
      </c>
      <c r="E4" t="s">
        <v>12</v>
      </c>
      <c r="F4">
        <v>3</v>
      </c>
      <c r="G4">
        <v>7</v>
      </c>
      <c r="H4">
        <v>2</v>
      </c>
      <c r="I4">
        <v>6465682</v>
      </c>
      <c r="J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5" spans="1:10" x14ac:dyDescent="0.25">
      <c r="A5">
        <v>4</v>
      </c>
      <c r="B5" t="s">
        <v>21</v>
      </c>
      <c r="C5" t="s">
        <v>22</v>
      </c>
      <c r="D5" t="s">
        <v>23</v>
      </c>
      <c r="E5" t="s">
        <v>24</v>
      </c>
      <c r="F5">
        <v>1</v>
      </c>
      <c r="G5">
        <v>4</v>
      </c>
      <c r="H5">
        <v>29</v>
      </c>
      <c r="I5">
        <v>6403191</v>
      </c>
      <c r="J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" spans="1:10" x14ac:dyDescent="0.25">
      <c r="A6">
        <v>5</v>
      </c>
      <c r="B6" t="s">
        <v>17</v>
      </c>
      <c r="C6" t="s">
        <v>18</v>
      </c>
      <c r="D6" t="s">
        <v>19</v>
      </c>
      <c r="E6" t="s">
        <v>20</v>
      </c>
      <c r="F6">
        <v>2</v>
      </c>
      <c r="G6">
        <v>3</v>
      </c>
      <c r="H6">
        <v>11</v>
      </c>
      <c r="I6">
        <v>6036929</v>
      </c>
      <c r="J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45876</v>
      </c>
    </row>
    <row r="7" spans="1:10" x14ac:dyDescent="0.25">
      <c r="A7">
        <v>6</v>
      </c>
      <c r="B7" t="s">
        <v>25</v>
      </c>
      <c r="C7" t="s">
        <v>26</v>
      </c>
      <c r="D7" t="s">
        <v>27</v>
      </c>
      <c r="E7" t="s">
        <v>28</v>
      </c>
      <c r="F7">
        <v>4</v>
      </c>
      <c r="G7">
        <v>5</v>
      </c>
      <c r="H7">
        <v>15</v>
      </c>
      <c r="I7">
        <v>6021168</v>
      </c>
      <c r="J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" spans="1:10" x14ac:dyDescent="0.25">
      <c r="A8">
        <v>7</v>
      </c>
      <c r="B8" t="s">
        <v>35</v>
      </c>
      <c r="C8" t="s">
        <v>36</v>
      </c>
      <c r="D8" t="s">
        <v>37</v>
      </c>
      <c r="E8" t="s">
        <v>12</v>
      </c>
      <c r="F8">
        <v>1</v>
      </c>
      <c r="G8">
        <v>8</v>
      </c>
      <c r="H8">
        <v>43</v>
      </c>
      <c r="I8">
        <v>5244644</v>
      </c>
      <c r="J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" spans="1:10" x14ac:dyDescent="0.25">
      <c r="A9">
        <v>8</v>
      </c>
      <c r="B9" t="s">
        <v>32</v>
      </c>
      <c r="C9" t="s">
        <v>33</v>
      </c>
      <c r="D9" t="s">
        <v>34</v>
      </c>
      <c r="E9" t="s">
        <v>12</v>
      </c>
      <c r="F9">
        <v>1</v>
      </c>
      <c r="G9">
        <v>6</v>
      </c>
      <c r="H9">
        <v>53</v>
      </c>
      <c r="I9">
        <v>5142715</v>
      </c>
      <c r="J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" spans="1:10" x14ac:dyDescent="0.25">
      <c r="A10">
        <v>9</v>
      </c>
      <c r="B10" t="s">
        <v>38</v>
      </c>
      <c r="C10" t="s">
        <v>39</v>
      </c>
      <c r="D10" t="s">
        <v>40</v>
      </c>
      <c r="E10" t="s">
        <v>41</v>
      </c>
      <c r="F10">
        <v>9</v>
      </c>
      <c r="G10">
        <v>10</v>
      </c>
      <c r="H10">
        <v>24</v>
      </c>
      <c r="I10">
        <v>4510991</v>
      </c>
      <c r="J1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1" spans="1:10" x14ac:dyDescent="0.25">
      <c r="A11">
        <v>10</v>
      </c>
      <c r="B11" t="s">
        <v>42</v>
      </c>
      <c r="C11" t="s">
        <v>43</v>
      </c>
      <c r="D11" t="s">
        <v>44</v>
      </c>
      <c r="E11" t="s">
        <v>31</v>
      </c>
      <c r="F11">
        <v>1</v>
      </c>
      <c r="G11">
        <v>14</v>
      </c>
      <c r="H11">
        <v>49</v>
      </c>
      <c r="I11">
        <v>4175859</v>
      </c>
      <c r="J1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" spans="1:10" x14ac:dyDescent="0.25">
      <c r="A12">
        <v>11</v>
      </c>
      <c r="B12" t="s">
        <v>48</v>
      </c>
      <c r="C12" t="s">
        <v>49</v>
      </c>
      <c r="D12" t="s">
        <v>50</v>
      </c>
      <c r="E12" t="s">
        <v>24</v>
      </c>
      <c r="F12">
        <v>11</v>
      </c>
      <c r="G12">
        <v>11</v>
      </c>
      <c r="H12">
        <v>9</v>
      </c>
      <c r="I12">
        <v>4140666</v>
      </c>
      <c r="J1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3" spans="1:10" x14ac:dyDescent="0.25">
      <c r="A13">
        <v>12</v>
      </c>
      <c r="B13" t="s">
        <v>4296</v>
      </c>
      <c r="C13" t="s">
        <v>29</v>
      </c>
      <c r="D13" t="s">
        <v>30</v>
      </c>
      <c r="E13" t="s">
        <v>31</v>
      </c>
      <c r="F13">
        <v>6</v>
      </c>
      <c r="G13">
        <v>9</v>
      </c>
      <c r="H13">
        <v>7</v>
      </c>
      <c r="I13">
        <v>4041694</v>
      </c>
      <c r="J1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" spans="1:10" x14ac:dyDescent="0.25">
      <c r="A14">
        <v>13</v>
      </c>
      <c r="B14" t="s">
        <v>45</v>
      </c>
      <c r="C14" t="s">
        <v>46</v>
      </c>
      <c r="D14" t="s">
        <v>47</v>
      </c>
      <c r="E14" t="s">
        <v>12</v>
      </c>
      <c r="F14">
        <v>8</v>
      </c>
      <c r="G14">
        <v>12</v>
      </c>
      <c r="H14">
        <v>15</v>
      </c>
      <c r="I14">
        <v>4017098</v>
      </c>
      <c r="J1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" spans="1:10" x14ac:dyDescent="0.25">
      <c r="A15">
        <v>14</v>
      </c>
      <c r="B15" t="s">
        <v>92</v>
      </c>
      <c r="C15" t="s">
        <v>93</v>
      </c>
      <c r="D15" t="s">
        <v>94</v>
      </c>
      <c r="E15" t="s">
        <v>24</v>
      </c>
      <c r="F15">
        <v>13</v>
      </c>
      <c r="G15">
        <v>13</v>
      </c>
      <c r="H15">
        <v>3</v>
      </c>
      <c r="I15">
        <v>3821992</v>
      </c>
      <c r="J1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" spans="1:10" x14ac:dyDescent="0.25">
      <c r="A16">
        <v>15</v>
      </c>
      <c r="B16" t="s">
        <v>64</v>
      </c>
      <c r="C16" t="s">
        <v>65</v>
      </c>
      <c r="D16" t="s">
        <v>66</v>
      </c>
      <c r="E16" t="s">
        <v>67</v>
      </c>
      <c r="F16">
        <v>13</v>
      </c>
      <c r="G16">
        <v>18</v>
      </c>
      <c r="H16">
        <v>32</v>
      </c>
      <c r="I16">
        <v>3641032</v>
      </c>
      <c r="J1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" spans="1:10" x14ac:dyDescent="0.25">
      <c r="A17">
        <v>16</v>
      </c>
      <c r="B17" t="s">
        <v>55</v>
      </c>
      <c r="C17" t="s">
        <v>43</v>
      </c>
      <c r="D17" t="s">
        <v>56</v>
      </c>
      <c r="E17" t="s">
        <v>31</v>
      </c>
      <c r="F17">
        <v>12</v>
      </c>
      <c r="G17">
        <v>16</v>
      </c>
      <c r="H17">
        <v>25</v>
      </c>
      <c r="I17">
        <v>3621356</v>
      </c>
      <c r="J1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" spans="1:10" x14ac:dyDescent="0.25">
      <c r="A18">
        <v>17</v>
      </c>
      <c r="B18" t="s">
        <v>169</v>
      </c>
      <c r="C18" t="s">
        <v>170</v>
      </c>
      <c r="D18" t="s">
        <v>171</v>
      </c>
      <c r="E18" t="s">
        <v>170</v>
      </c>
      <c r="F18">
        <v>15</v>
      </c>
      <c r="G18">
        <v>22</v>
      </c>
      <c r="H18">
        <v>14</v>
      </c>
      <c r="I18">
        <v>3564705</v>
      </c>
      <c r="J1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" spans="1:10" x14ac:dyDescent="0.25">
      <c r="A19">
        <v>18</v>
      </c>
      <c r="B19" t="s">
        <v>78</v>
      </c>
      <c r="C19" t="s">
        <v>33</v>
      </c>
      <c r="D19" t="s">
        <v>79</v>
      </c>
      <c r="E19" t="s">
        <v>12</v>
      </c>
      <c r="F19">
        <v>15</v>
      </c>
      <c r="G19">
        <v>15</v>
      </c>
      <c r="H19">
        <v>29</v>
      </c>
      <c r="I19">
        <v>3450889</v>
      </c>
      <c r="J1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0" spans="1:10" x14ac:dyDescent="0.25">
      <c r="A20">
        <v>19</v>
      </c>
      <c r="B20" t="s">
        <v>61</v>
      </c>
      <c r="C20" t="s">
        <v>62</v>
      </c>
      <c r="D20" t="s">
        <v>63</v>
      </c>
      <c r="E20" t="s">
        <v>24</v>
      </c>
      <c r="F20">
        <v>15</v>
      </c>
      <c r="G20">
        <v>17</v>
      </c>
      <c r="H20">
        <v>58</v>
      </c>
      <c r="I20">
        <v>3292855</v>
      </c>
      <c r="J2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1" spans="1:10" x14ac:dyDescent="0.25">
      <c r="A21">
        <v>20</v>
      </c>
      <c r="B21" t="s">
        <v>68</v>
      </c>
      <c r="C21" t="s">
        <v>69</v>
      </c>
      <c r="D21" t="s">
        <v>70</v>
      </c>
      <c r="E21" t="s">
        <v>67</v>
      </c>
      <c r="F21">
        <v>1</v>
      </c>
      <c r="G21">
        <v>19</v>
      </c>
      <c r="H21">
        <v>22</v>
      </c>
      <c r="I21">
        <v>3146994</v>
      </c>
      <c r="J2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2" spans="1:10" x14ac:dyDescent="0.25">
      <c r="A22">
        <v>21</v>
      </c>
      <c r="B22" t="s">
        <v>1052</v>
      </c>
      <c r="C22" t="s">
        <v>110</v>
      </c>
      <c r="D22" t="s">
        <v>111</v>
      </c>
      <c r="E22" t="s">
        <v>12</v>
      </c>
      <c r="F22">
        <v>21</v>
      </c>
      <c r="G22">
        <v>23</v>
      </c>
      <c r="H22">
        <v>5</v>
      </c>
      <c r="I22">
        <v>3138837</v>
      </c>
      <c r="J2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23" spans="1:10" x14ac:dyDescent="0.25">
      <c r="A23">
        <v>22</v>
      </c>
      <c r="B23" t="s">
        <v>80</v>
      </c>
      <c r="C23" t="s">
        <v>81</v>
      </c>
      <c r="D23" t="s">
        <v>82</v>
      </c>
      <c r="E23" t="s">
        <v>67</v>
      </c>
      <c r="F23">
        <v>11</v>
      </c>
      <c r="G23">
        <v>25</v>
      </c>
      <c r="H23">
        <v>34</v>
      </c>
      <c r="I23">
        <v>3078089</v>
      </c>
      <c r="J2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4" spans="1:10" x14ac:dyDescent="0.25">
      <c r="A24">
        <v>23</v>
      </c>
      <c r="B24" t="s">
        <v>57</v>
      </c>
      <c r="C24" t="s">
        <v>58</v>
      </c>
      <c r="D24" t="s">
        <v>59</v>
      </c>
      <c r="E24" t="s">
        <v>60</v>
      </c>
      <c r="F24">
        <v>1</v>
      </c>
      <c r="G24">
        <v>21</v>
      </c>
      <c r="H24">
        <v>10</v>
      </c>
      <c r="I24">
        <v>3050734</v>
      </c>
      <c r="J2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5" spans="1:10" x14ac:dyDescent="0.25">
      <c r="A25">
        <v>24</v>
      </c>
      <c r="B25" t="s">
        <v>89</v>
      </c>
      <c r="C25" t="s">
        <v>90</v>
      </c>
      <c r="D25" t="s">
        <v>91</v>
      </c>
      <c r="E25" t="s">
        <v>41</v>
      </c>
      <c r="F25">
        <v>18</v>
      </c>
      <c r="G25">
        <v>27</v>
      </c>
      <c r="H25">
        <v>22</v>
      </c>
      <c r="I25">
        <v>2975625</v>
      </c>
      <c r="J2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6" spans="1:10" x14ac:dyDescent="0.25">
      <c r="A26">
        <v>25</v>
      </c>
      <c r="B26" t="s">
        <v>401</v>
      </c>
      <c r="C26" t="s">
        <v>402</v>
      </c>
      <c r="D26" t="s">
        <v>403</v>
      </c>
      <c r="E26" t="s">
        <v>402</v>
      </c>
      <c r="F26">
        <v>25</v>
      </c>
      <c r="G26">
        <v>39</v>
      </c>
      <c r="H26">
        <v>2</v>
      </c>
      <c r="I26">
        <v>2934077</v>
      </c>
      <c r="J2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27" spans="1:10" x14ac:dyDescent="0.25">
      <c r="A27">
        <v>26</v>
      </c>
      <c r="B27" t="s">
        <v>51</v>
      </c>
      <c r="C27" t="s">
        <v>52</v>
      </c>
      <c r="D27" t="s">
        <v>53</v>
      </c>
      <c r="E27" t="s">
        <v>54</v>
      </c>
      <c r="F27">
        <v>10</v>
      </c>
      <c r="G27">
        <v>20</v>
      </c>
      <c r="H27">
        <v>16</v>
      </c>
      <c r="I27">
        <v>2929827</v>
      </c>
      <c r="J2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8" spans="1:10" x14ac:dyDescent="0.25">
      <c r="A28">
        <v>27</v>
      </c>
      <c r="B28" t="s">
        <v>95</v>
      </c>
      <c r="C28" t="s">
        <v>96</v>
      </c>
      <c r="D28" t="s">
        <v>97</v>
      </c>
      <c r="E28" t="s">
        <v>98</v>
      </c>
      <c r="F28">
        <v>27</v>
      </c>
      <c r="G28">
        <v>29</v>
      </c>
      <c r="H28">
        <v>8</v>
      </c>
      <c r="I28">
        <v>2925646</v>
      </c>
      <c r="J2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29" spans="1:10" x14ac:dyDescent="0.25">
      <c r="A29">
        <v>28</v>
      </c>
      <c r="B29" t="s">
        <v>74</v>
      </c>
      <c r="C29" t="s">
        <v>75</v>
      </c>
      <c r="D29" t="s">
        <v>76</v>
      </c>
      <c r="E29" t="s">
        <v>77</v>
      </c>
      <c r="F29">
        <v>5</v>
      </c>
      <c r="G29">
        <v>24</v>
      </c>
      <c r="H29">
        <v>25</v>
      </c>
      <c r="I29">
        <v>2918820</v>
      </c>
      <c r="J2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0" spans="1:10" x14ac:dyDescent="0.25">
      <c r="A30">
        <v>29</v>
      </c>
      <c r="B30" t="s">
        <v>187</v>
      </c>
      <c r="C30" t="s">
        <v>188</v>
      </c>
      <c r="D30" t="s">
        <v>189</v>
      </c>
      <c r="E30" t="s">
        <v>88</v>
      </c>
      <c r="F30">
        <v>29</v>
      </c>
      <c r="G30">
        <v>34</v>
      </c>
      <c r="H30">
        <v>2</v>
      </c>
      <c r="I30">
        <v>2916792</v>
      </c>
      <c r="J3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31" spans="1:10" x14ac:dyDescent="0.25">
      <c r="A31">
        <v>30</v>
      </c>
      <c r="B31" t="s">
        <v>83</v>
      </c>
      <c r="C31" t="s">
        <v>43</v>
      </c>
      <c r="D31" t="s">
        <v>84</v>
      </c>
      <c r="E31" t="s">
        <v>31</v>
      </c>
      <c r="F31">
        <v>18</v>
      </c>
      <c r="G31">
        <v>28</v>
      </c>
      <c r="H31">
        <v>35</v>
      </c>
      <c r="I31">
        <v>2916331</v>
      </c>
      <c r="J3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2" spans="1:10" x14ac:dyDescent="0.25">
      <c r="A32">
        <v>31</v>
      </c>
      <c r="B32" t="s">
        <v>112</v>
      </c>
      <c r="C32" t="s">
        <v>43</v>
      </c>
      <c r="D32" t="s">
        <v>113</v>
      </c>
      <c r="E32" t="s">
        <v>31</v>
      </c>
      <c r="F32">
        <v>20</v>
      </c>
      <c r="G32">
        <v>31</v>
      </c>
      <c r="H32">
        <v>49</v>
      </c>
      <c r="I32">
        <v>2881302</v>
      </c>
      <c r="J3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3" spans="1:10" x14ac:dyDescent="0.25">
      <c r="A33">
        <v>32</v>
      </c>
      <c r="B33" t="s">
        <v>158</v>
      </c>
      <c r="C33" t="s">
        <v>159</v>
      </c>
      <c r="D33" t="s">
        <v>160</v>
      </c>
      <c r="E33" t="s">
        <v>138</v>
      </c>
      <c r="F33">
        <v>5</v>
      </c>
      <c r="G33">
        <v>56</v>
      </c>
      <c r="H33">
        <v>44</v>
      </c>
      <c r="I33">
        <v>2828000</v>
      </c>
      <c r="J3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45673</v>
      </c>
    </row>
    <row r="34" spans="1:10" x14ac:dyDescent="0.25">
      <c r="A34">
        <v>33</v>
      </c>
      <c r="B34" t="s">
        <v>99</v>
      </c>
      <c r="C34" t="s">
        <v>100</v>
      </c>
      <c r="D34" t="s">
        <v>101</v>
      </c>
      <c r="E34" t="s">
        <v>88</v>
      </c>
      <c r="F34">
        <v>4</v>
      </c>
      <c r="G34">
        <v>33</v>
      </c>
      <c r="H34">
        <v>30</v>
      </c>
      <c r="I34">
        <v>2817576</v>
      </c>
      <c r="J3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5" spans="1:10" x14ac:dyDescent="0.25">
      <c r="A35">
        <v>34</v>
      </c>
      <c r="B35" t="s">
        <v>102</v>
      </c>
      <c r="C35" t="s">
        <v>103</v>
      </c>
      <c r="D35" t="s">
        <v>104</v>
      </c>
      <c r="E35" t="s">
        <v>105</v>
      </c>
      <c r="F35">
        <v>34</v>
      </c>
      <c r="G35">
        <v>37</v>
      </c>
      <c r="H35">
        <v>75</v>
      </c>
      <c r="I35">
        <v>2728556</v>
      </c>
      <c r="J3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36" spans="1:10" x14ac:dyDescent="0.25">
      <c r="A36">
        <v>35</v>
      </c>
      <c r="B36" t="s">
        <v>3916</v>
      </c>
      <c r="C36" t="s">
        <v>3702</v>
      </c>
      <c r="D36" t="s">
        <v>3917</v>
      </c>
      <c r="E36" t="s">
        <v>3702</v>
      </c>
      <c r="F36">
        <v>35</v>
      </c>
      <c r="G36">
        <v>-1</v>
      </c>
      <c r="H36">
        <v>1</v>
      </c>
      <c r="I36">
        <v>2639896</v>
      </c>
      <c r="J3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37" spans="1:10" x14ac:dyDescent="0.25">
      <c r="A37">
        <v>36</v>
      </c>
      <c r="B37" t="s">
        <v>3703</v>
      </c>
      <c r="C37" t="s">
        <v>665</v>
      </c>
      <c r="D37" t="s">
        <v>3451</v>
      </c>
      <c r="E37" t="s">
        <v>12</v>
      </c>
      <c r="F37">
        <v>36</v>
      </c>
      <c r="G37">
        <v>112</v>
      </c>
      <c r="H37">
        <v>2</v>
      </c>
      <c r="I37">
        <v>2633350</v>
      </c>
      <c r="J3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38" spans="1:10" x14ac:dyDescent="0.25">
      <c r="A38">
        <v>37</v>
      </c>
      <c r="B38" t="s">
        <v>194</v>
      </c>
      <c r="C38" t="s">
        <v>133</v>
      </c>
      <c r="D38" t="s">
        <v>195</v>
      </c>
      <c r="E38" t="s">
        <v>77</v>
      </c>
      <c r="F38">
        <v>37</v>
      </c>
      <c r="G38">
        <v>50</v>
      </c>
      <c r="H38">
        <v>3</v>
      </c>
      <c r="I38">
        <v>2611805</v>
      </c>
      <c r="J3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39" spans="1:10" x14ac:dyDescent="0.25">
      <c r="A39">
        <v>38</v>
      </c>
      <c r="B39" t="s">
        <v>161</v>
      </c>
      <c r="C39" t="s">
        <v>22</v>
      </c>
      <c r="D39" t="s">
        <v>162</v>
      </c>
      <c r="E39" t="s">
        <v>24</v>
      </c>
      <c r="F39">
        <v>17</v>
      </c>
      <c r="G39">
        <v>30</v>
      </c>
      <c r="H39">
        <v>59</v>
      </c>
      <c r="I39">
        <v>2586226</v>
      </c>
      <c r="J3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0" spans="1:10" x14ac:dyDescent="0.25">
      <c r="A40">
        <v>39</v>
      </c>
      <c r="B40" t="s">
        <v>4297</v>
      </c>
      <c r="C40" t="s">
        <v>496</v>
      </c>
      <c r="D40" t="s">
        <v>4226</v>
      </c>
      <c r="E40" t="s">
        <v>1133</v>
      </c>
      <c r="F40">
        <v>39</v>
      </c>
      <c r="G40">
        <v>-1</v>
      </c>
      <c r="H40">
        <v>1</v>
      </c>
      <c r="I40">
        <v>2544480</v>
      </c>
      <c r="J4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41" spans="1:10" x14ac:dyDescent="0.25">
      <c r="A41">
        <v>40</v>
      </c>
      <c r="B41" t="s">
        <v>71</v>
      </c>
      <c r="C41" t="s">
        <v>72</v>
      </c>
      <c r="D41" t="s">
        <v>73</v>
      </c>
      <c r="E41" t="s">
        <v>20</v>
      </c>
      <c r="F41">
        <v>18</v>
      </c>
      <c r="G41">
        <v>26</v>
      </c>
      <c r="H41">
        <v>6</v>
      </c>
      <c r="I41">
        <v>2511771</v>
      </c>
      <c r="J4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45883</v>
      </c>
    </row>
    <row r="42" spans="1:10" x14ac:dyDescent="0.25">
      <c r="A42">
        <v>41</v>
      </c>
      <c r="B42" t="s">
        <v>118</v>
      </c>
      <c r="C42" t="s">
        <v>69</v>
      </c>
      <c r="D42" t="s">
        <v>119</v>
      </c>
      <c r="E42" t="s">
        <v>67</v>
      </c>
      <c r="F42">
        <v>3</v>
      </c>
      <c r="G42">
        <v>36</v>
      </c>
      <c r="H42">
        <v>31</v>
      </c>
      <c r="I42">
        <v>2495897</v>
      </c>
      <c r="J4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3" spans="1:10" x14ac:dyDescent="0.25">
      <c r="A43">
        <v>42</v>
      </c>
      <c r="B43" t="s">
        <v>120</v>
      </c>
      <c r="C43" t="s">
        <v>43</v>
      </c>
      <c r="D43" t="s">
        <v>121</v>
      </c>
      <c r="E43" t="s">
        <v>31</v>
      </c>
      <c r="F43">
        <v>25</v>
      </c>
      <c r="G43">
        <v>38</v>
      </c>
      <c r="H43">
        <v>44</v>
      </c>
      <c r="I43">
        <v>2479856</v>
      </c>
      <c r="J4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4" spans="1:10" x14ac:dyDescent="0.25">
      <c r="A44">
        <v>43</v>
      </c>
      <c r="B44" t="s">
        <v>4301</v>
      </c>
      <c r="C44" t="s">
        <v>122</v>
      </c>
      <c r="D44" t="s">
        <v>123</v>
      </c>
      <c r="E44" t="s">
        <v>24</v>
      </c>
      <c r="F44">
        <v>20</v>
      </c>
      <c r="G44">
        <v>35</v>
      </c>
      <c r="H44">
        <v>10</v>
      </c>
      <c r="I44">
        <v>2403743</v>
      </c>
      <c r="J4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5" spans="1:10" x14ac:dyDescent="0.25">
      <c r="A45">
        <v>44</v>
      </c>
      <c r="B45" t="s">
        <v>106</v>
      </c>
      <c r="C45" t="s">
        <v>107</v>
      </c>
      <c r="D45" t="s">
        <v>108</v>
      </c>
      <c r="E45" t="s">
        <v>109</v>
      </c>
      <c r="F45">
        <v>30</v>
      </c>
      <c r="G45">
        <v>43</v>
      </c>
      <c r="H45">
        <v>21</v>
      </c>
      <c r="I45">
        <v>2342657</v>
      </c>
      <c r="J4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6" spans="1:10" x14ac:dyDescent="0.25">
      <c r="A46">
        <v>45</v>
      </c>
      <c r="B46" t="s">
        <v>233</v>
      </c>
      <c r="C46" t="s">
        <v>234</v>
      </c>
      <c r="D46" t="s">
        <v>235</v>
      </c>
      <c r="E46" t="s">
        <v>12</v>
      </c>
      <c r="F46">
        <v>4</v>
      </c>
      <c r="G46">
        <v>48</v>
      </c>
      <c r="H46">
        <v>132</v>
      </c>
      <c r="I46">
        <v>2297929</v>
      </c>
      <c r="J4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7" spans="1:10" x14ac:dyDescent="0.25">
      <c r="A47">
        <v>46</v>
      </c>
      <c r="B47" t="s">
        <v>154</v>
      </c>
      <c r="C47" t="s">
        <v>46</v>
      </c>
      <c r="D47" t="s">
        <v>155</v>
      </c>
      <c r="E47" t="s">
        <v>12</v>
      </c>
      <c r="F47">
        <v>17</v>
      </c>
      <c r="G47">
        <v>44</v>
      </c>
      <c r="H47">
        <v>15</v>
      </c>
      <c r="I47">
        <v>2293955</v>
      </c>
      <c r="J4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8" spans="1:10" x14ac:dyDescent="0.25">
      <c r="A48">
        <v>47</v>
      </c>
      <c r="B48" t="s">
        <v>213</v>
      </c>
      <c r="C48" t="s">
        <v>93</v>
      </c>
      <c r="D48" t="s">
        <v>214</v>
      </c>
      <c r="E48" t="s">
        <v>24</v>
      </c>
      <c r="F48">
        <v>47</v>
      </c>
      <c r="G48">
        <v>52</v>
      </c>
      <c r="H48">
        <v>3</v>
      </c>
      <c r="I48">
        <v>2289877</v>
      </c>
      <c r="J4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49" spans="1:10" x14ac:dyDescent="0.25">
      <c r="A49">
        <v>48</v>
      </c>
      <c r="B49" t="s">
        <v>236</v>
      </c>
      <c r="C49" t="s">
        <v>237</v>
      </c>
      <c r="D49" t="s">
        <v>238</v>
      </c>
      <c r="E49" t="s">
        <v>12</v>
      </c>
      <c r="F49">
        <v>47</v>
      </c>
      <c r="G49">
        <v>47</v>
      </c>
      <c r="H49">
        <v>4</v>
      </c>
      <c r="I49">
        <v>2270382</v>
      </c>
      <c r="J4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0" spans="1:10" x14ac:dyDescent="0.25">
      <c r="A50">
        <v>49</v>
      </c>
      <c r="B50" t="s">
        <v>135</v>
      </c>
      <c r="C50" t="s">
        <v>136</v>
      </c>
      <c r="D50" t="s">
        <v>137</v>
      </c>
      <c r="E50" t="s">
        <v>138</v>
      </c>
      <c r="F50">
        <v>23</v>
      </c>
      <c r="G50">
        <v>40</v>
      </c>
      <c r="H50">
        <v>11</v>
      </c>
      <c r="I50">
        <v>2268637</v>
      </c>
      <c r="J5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45848</v>
      </c>
    </row>
    <row r="51" spans="1:10" x14ac:dyDescent="0.25">
      <c r="A51">
        <v>50</v>
      </c>
      <c r="B51" t="s">
        <v>124</v>
      </c>
      <c r="C51" t="s">
        <v>125</v>
      </c>
      <c r="D51" t="s">
        <v>126</v>
      </c>
      <c r="E51" t="s">
        <v>127</v>
      </c>
      <c r="F51">
        <v>15</v>
      </c>
      <c r="G51">
        <v>41</v>
      </c>
      <c r="H51">
        <v>18</v>
      </c>
      <c r="I51">
        <v>2261816</v>
      </c>
      <c r="J5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2" spans="1:10" x14ac:dyDescent="0.25">
      <c r="A52">
        <v>51</v>
      </c>
      <c r="B52" t="s">
        <v>132</v>
      </c>
      <c r="C52" t="s">
        <v>133</v>
      </c>
      <c r="D52" t="s">
        <v>134</v>
      </c>
      <c r="E52" t="s">
        <v>77</v>
      </c>
      <c r="F52">
        <v>9</v>
      </c>
      <c r="G52">
        <v>42</v>
      </c>
      <c r="H52">
        <v>14</v>
      </c>
      <c r="I52">
        <v>2261800</v>
      </c>
      <c r="J5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3" spans="1:10" x14ac:dyDescent="0.25">
      <c r="A53">
        <v>52</v>
      </c>
      <c r="B53" t="s">
        <v>85</v>
      </c>
      <c r="C53" t="s">
        <v>86</v>
      </c>
      <c r="D53" t="s">
        <v>87</v>
      </c>
      <c r="E53" t="s">
        <v>88</v>
      </c>
      <c r="F53">
        <v>5</v>
      </c>
      <c r="G53">
        <v>32</v>
      </c>
      <c r="H53">
        <v>18</v>
      </c>
      <c r="I53">
        <v>2222854</v>
      </c>
      <c r="J5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4" spans="1:10" x14ac:dyDescent="0.25">
      <c r="A54">
        <v>53</v>
      </c>
      <c r="B54" t="s">
        <v>215</v>
      </c>
      <c r="C54" t="s">
        <v>22</v>
      </c>
      <c r="D54" t="s">
        <v>216</v>
      </c>
      <c r="E54" t="s">
        <v>24</v>
      </c>
      <c r="F54">
        <v>4</v>
      </c>
      <c r="G54">
        <v>55</v>
      </c>
      <c r="H54">
        <v>51</v>
      </c>
      <c r="I54">
        <v>2218351</v>
      </c>
      <c r="J5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5" spans="1:10" x14ac:dyDescent="0.25">
      <c r="A55">
        <v>54</v>
      </c>
      <c r="B55" t="s">
        <v>151</v>
      </c>
      <c r="C55" t="s">
        <v>152</v>
      </c>
      <c r="D55" t="s">
        <v>153</v>
      </c>
      <c r="E55" t="s">
        <v>12</v>
      </c>
      <c r="F55">
        <v>11</v>
      </c>
      <c r="G55">
        <v>46</v>
      </c>
      <c r="H55">
        <v>43</v>
      </c>
      <c r="I55">
        <v>2204088</v>
      </c>
      <c r="J5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6" spans="1:10" x14ac:dyDescent="0.25">
      <c r="A56">
        <v>55</v>
      </c>
      <c r="B56" t="s">
        <v>139</v>
      </c>
      <c r="C56" t="s">
        <v>140</v>
      </c>
      <c r="D56" t="s">
        <v>141</v>
      </c>
      <c r="E56" t="s">
        <v>142</v>
      </c>
      <c r="F56">
        <v>49</v>
      </c>
      <c r="G56">
        <v>49</v>
      </c>
      <c r="H56">
        <v>6</v>
      </c>
      <c r="I56">
        <v>2134100</v>
      </c>
      <c r="J5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7" spans="1:10" x14ac:dyDescent="0.25">
      <c r="A57">
        <v>56</v>
      </c>
      <c r="B57" t="s">
        <v>3699</v>
      </c>
      <c r="C57" t="s">
        <v>3700</v>
      </c>
      <c r="D57" t="s">
        <v>3701</v>
      </c>
      <c r="E57" t="s">
        <v>3702</v>
      </c>
      <c r="F57">
        <v>56</v>
      </c>
      <c r="G57">
        <v>-1</v>
      </c>
      <c r="H57">
        <v>1</v>
      </c>
      <c r="I57">
        <v>2133112</v>
      </c>
      <c r="J5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58" spans="1:10" x14ac:dyDescent="0.25">
      <c r="A58">
        <v>57</v>
      </c>
      <c r="B58" t="s">
        <v>147</v>
      </c>
      <c r="C58" t="s">
        <v>148</v>
      </c>
      <c r="D58" t="s">
        <v>149</v>
      </c>
      <c r="E58" t="s">
        <v>150</v>
      </c>
      <c r="F58">
        <v>52</v>
      </c>
      <c r="G58">
        <v>57</v>
      </c>
      <c r="H58">
        <v>74</v>
      </c>
      <c r="I58">
        <v>2114693</v>
      </c>
      <c r="J5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9" spans="1:10" x14ac:dyDescent="0.25">
      <c r="A59">
        <v>58</v>
      </c>
      <c r="B59" t="s">
        <v>166</v>
      </c>
      <c r="C59" t="s">
        <v>167</v>
      </c>
      <c r="D59" t="s">
        <v>168</v>
      </c>
      <c r="E59" t="s">
        <v>54</v>
      </c>
      <c r="F59">
        <v>1</v>
      </c>
      <c r="G59">
        <v>51</v>
      </c>
      <c r="H59">
        <v>41</v>
      </c>
      <c r="I59">
        <v>2112026</v>
      </c>
      <c r="J5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0" spans="1:10" x14ac:dyDescent="0.25">
      <c r="A60">
        <v>59</v>
      </c>
      <c r="B60" t="s">
        <v>4298</v>
      </c>
      <c r="C60" t="s">
        <v>496</v>
      </c>
      <c r="D60" t="s">
        <v>1132</v>
      </c>
      <c r="E60" t="s">
        <v>1133</v>
      </c>
      <c r="F60">
        <v>52</v>
      </c>
      <c r="G60">
        <v>-1</v>
      </c>
      <c r="H60">
        <v>9</v>
      </c>
      <c r="I60">
        <v>2086431</v>
      </c>
      <c r="J6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1" spans="1:10" x14ac:dyDescent="0.25">
      <c r="A61">
        <v>60</v>
      </c>
      <c r="B61" t="s">
        <v>196</v>
      </c>
      <c r="C61" t="s">
        <v>197</v>
      </c>
      <c r="D61" t="s">
        <v>198</v>
      </c>
      <c r="E61" t="s">
        <v>199</v>
      </c>
      <c r="F61">
        <v>21</v>
      </c>
      <c r="G61">
        <v>63</v>
      </c>
      <c r="H61">
        <v>25</v>
      </c>
      <c r="I61">
        <v>2050184</v>
      </c>
      <c r="J6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2" spans="1:10" x14ac:dyDescent="0.25">
      <c r="A62">
        <v>61</v>
      </c>
      <c r="B62" t="s">
        <v>4208</v>
      </c>
      <c r="C62" t="s">
        <v>4209</v>
      </c>
      <c r="D62" t="s">
        <v>4210</v>
      </c>
      <c r="E62" t="s">
        <v>4211</v>
      </c>
      <c r="F62">
        <v>61</v>
      </c>
      <c r="G62">
        <v>-1</v>
      </c>
      <c r="H62">
        <v>1</v>
      </c>
      <c r="I62">
        <v>2044950</v>
      </c>
      <c r="J6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63" spans="1:10" x14ac:dyDescent="0.25">
      <c r="A63">
        <v>62</v>
      </c>
      <c r="B63" t="s">
        <v>128</v>
      </c>
      <c r="C63" t="s">
        <v>129</v>
      </c>
      <c r="D63" t="s">
        <v>130</v>
      </c>
      <c r="E63" t="s">
        <v>131</v>
      </c>
      <c r="F63">
        <v>54</v>
      </c>
      <c r="G63">
        <v>54</v>
      </c>
      <c r="H63">
        <v>26</v>
      </c>
      <c r="I63">
        <v>2042542</v>
      </c>
      <c r="J6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4" spans="1:10" x14ac:dyDescent="0.25">
      <c r="A64">
        <v>63</v>
      </c>
      <c r="B64" t="s">
        <v>1069</v>
      </c>
      <c r="C64" t="s">
        <v>159</v>
      </c>
      <c r="D64" t="s">
        <v>1070</v>
      </c>
      <c r="E64" t="s">
        <v>138</v>
      </c>
      <c r="F64">
        <v>63</v>
      </c>
      <c r="G64">
        <v>101</v>
      </c>
      <c r="H64">
        <v>2</v>
      </c>
      <c r="I64">
        <v>2022917</v>
      </c>
      <c r="J6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65" spans="1:10" x14ac:dyDescent="0.25">
      <c r="A65">
        <v>64</v>
      </c>
      <c r="B65" t="s">
        <v>114</v>
      </c>
      <c r="C65" t="s">
        <v>115</v>
      </c>
      <c r="D65" t="s">
        <v>116</v>
      </c>
      <c r="E65" t="s">
        <v>117</v>
      </c>
      <c r="F65">
        <v>5</v>
      </c>
      <c r="G65">
        <v>45</v>
      </c>
      <c r="H65">
        <v>13</v>
      </c>
      <c r="I65">
        <v>2012396</v>
      </c>
      <c r="J6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6" spans="1:10" x14ac:dyDescent="0.25">
      <c r="A66">
        <v>65</v>
      </c>
      <c r="B66" t="s">
        <v>180</v>
      </c>
      <c r="C66" t="s">
        <v>181</v>
      </c>
      <c r="D66" t="s">
        <v>182</v>
      </c>
      <c r="E66" t="s">
        <v>183</v>
      </c>
      <c r="F66">
        <v>10</v>
      </c>
      <c r="G66">
        <v>58</v>
      </c>
      <c r="H66">
        <v>22</v>
      </c>
      <c r="I66">
        <v>1985560</v>
      </c>
      <c r="J6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7" spans="1:10" x14ac:dyDescent="0.25">
      <c r="A67">
        <v>66</v>
      </c>
      <c r="B67" t="s">
        <v>176</v>
      </c>
      <c r="C67" t="s">
        <v>177</v>
      </c>
      <c r="D67" t="s">
        <v>178</v>
      </c>
      <c r="E67" t="s">
        <v>179</v>
      </c>
      <c r="F67">
        <v>36</v>
      </c>
      <c r="G67">
        <v>53</v>
      </c>
      <c r="H67">
        <v>20</v>
      </c>
      <c r="I67">
        <v>1984927</v>
      </c>
      <c r="J6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8" spans="1:10" x14ac:dyDescent="0.25">
      <c r="A68">
        <v>67</v>
      </c>
      <c r="B68" t="s">
        <v>163</v>
      </c>
      <c r="C68" t="s">
        <v>164</v>
      </c>
      <c r="D68" t="s">
        <v>3914</v>
      </c>
      <c r="E68" t="s">
        <v>164</v>
      </c>
      <c r="F68">
        <v>60</v>
      </c>
      <c r="G68">
        <v>60</v>
      </c>
      <c r="H68">
        <v>25</v>
      </c>
      <c r="I68">
        <v>1981311</v>
      </c>
      <c r="J6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9" spans="1:10" x14ac:dyDescent="0.25">
      <c r="A69">
        <v>68</v>
      </c>
      <c r="B69" t="s">
        <v>156</v>
      </c>
      <c r="C69" t="s">
        <v>43</v>
      </c>
      <c r="D69" t="s">
        <v>157</v>
      </c>
      <c r="E69" t="s">
        <v>31</v>
      </c>
      <c r="F69">
        <v>17</v>
      </c>
      <c r="G69">
        <v>59</v>
      </c>
      <c r="H69">
        <v>151</v>
      </c>
      <c r="I69">
        <v>1970522</v>
      </c>
      <c r="J6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0" spans="1:10" x14ac:dyDescent="0.25">
      <c r="A70">
        <v>69</v>
      </c>
      <c r="B70" t="s">
        <v>220</v>
      </c>
      <c r="C70" t="s">
        <v>46</v>
      </c>
      <c r="D70" t="s">
        <v>221</v>
      </c>
      <c r="E70" t="s">
        <v>12</v>
      </c>
      <c r="F70">
        <v>65</v>
      </c>
      <c r="G70">
        <v>65</v>
      </c>
      <c r="H70">
        <v>3</v>
      </c>
      <c r="I70">
        <v>1967413</v>
      </c>
      <c r="J7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1" spans="1:10" x14ac:dyDescent="0.25">
      <c r="A71">
        <v>70</v>
      </c>
      <c r="B71" t="s">
        <v>143</v>
      </c>
      <c r="C71" t="s">
        <v>144</v>
      </c>
      <c r="D71" t="s">
        <v>145</v>
      </c>
      <c r="E71" t="s">
        <v>146</v>
      </c>
      <c r="F71">
        <v>40</v>
      </c>
      <c r="G71">
        <v>64</v>
      </c>
      <c r="H71">
        <v>9</v>
      </c>
      <c r="I71">
        <v>1961830</v>
      </c>
      <c r="J7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2" spans="1:10" x14ac:dyDescent="0.25">
      <c r="A72">
        <v>71</v>
      </c>
      <c r="B72" t="s">
        <v>200</v>
      </c>
      <c r="C72" t="s">
        <v>201</v>
      </c>
      <c r="D72" t="s">
        <v>202</v>
      </c>
      <c r="E72" t="s">
        <v>203</v>
      </c>
      <c r="F72">
        <v>11</v>
      </c>
      <c r="G72">
        <v>68</v>
      </c>
      <c r="H72">
        <v>29</v>
      </c>
      <c r="I72">
        <v>1891558</v>
      </c>
      <c r="J7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3" spans="1:10" x14ac:dyDescent="0.25">
      <c r="A73">
        <v>72</v>
      </c>
      <c r="B73" t="s">
        <v>239</v>
      </c>
      <c r="C73" t="s">
        <v>240</v>
      </c>
      <c r="D73" t="s">
        <v>241</v>
      </c>
      <c r="E73" t="s">
        <v>88</v>
      </c>
      <c r="F73">
        <v>17</v>
      </c>
      <c r="G73">
        <v>66</v>
      </c>
      <c r="H73">
        <v>72</v>
      </c>
      <c r="I73">
        <v>1858615</v>
      </c>
      <c r="J7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4" spans="1:10" x14ac:dyDescent="0.25">
      <c r="A74">
        <v>73</v>
      </c>
      <c r="B74" t="s">
        <v>300</v>
      </c>
      <c r="C74" t="s">
        <v>301</v>
      </c>
      <c r="D74" t="s">
        <v>302</v>
      </c>
      <c r="E74" t="s">
        <v>303</v>
      </c>
      <c r="F74">
        <v>43</v>
      </c>
      <c r="G74">
        <v>108</v>
      </c>
      <c r="H74">
        <v>16</v>
      </c>
      <c r="I74">
        <v>1845595</v>
      </c>
      <c r="J7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5" spans="1:10" x14ac:dyDescent="0.25">
      <c r="A75">
        <v>74</v>
      </c>
      <c r="B75" t="s">
        <v>242</v>
      </c>
      <c r="C75" t="s">
        <v>243</v>
      </c>
      <c r="D75" t="s">
        <v>244</v>
      </c>
      <c r="E75" t="s">
        <v>245</v>
      </c>
      <c r="F75">
        <v>6</v>
      </c>
      <c r="G75">
        <v>74</v>
      </c>
      <c r="H75">
        <v>48</v>
      </c>
      <c r="I75">
        <v>1815797</v>
      </c>
      <c r="J7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6" spans="1:10" x14ac:dyDescent="0.25">
      <c r="A76">
        <v>75</v>
      </c>
      <c r="B76" t="s">
        <v>291</v>
      </c>
      <c r="C76" t="s">
        <v>292</v>
      </c>
      <c r="D76" t="s">
        <v>293</v>
      </c>
      <c r="E76" t="s">
        <v>183</v>
      </c>
      <c r="F76">
        <v>75</v>
      </c>
      <c r="G76">
        <v>84</v>
      </c>
      <c r="H76">
        <v>15</v>
      </c>
      <c r="I76">
        <v>1811519</v>
      </c>
      <c r="J7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77" spans="1:10" x14ac:dyDescent="0.25">
      <c r="A77">
        <v>76</v>
      </c>
      <c r="B77" t="s">
        <v>190</v>
      </c>
      <c r="C77" t="s">
        <v>191</v>
      </c>
      <c r="D77" t="s">
        <v>192</v>
      </c>
      <c r="E77" t="s">
        <v>193</v>
      </c>
      <c r="F77">
        <v>1</v>
      </c>
      <c r="G77">
        <v>61</v>
      </c>
      <c r="H77">
        <v>21</v>
      </c>
      <c r="I77">
        <v>1797318</v>
      </c>
      <c r="J7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8" spans="1:10" x14ac:dyDescent="0.25">
      <c r="A78">
        <v>77</v>
      </c>
      <c r="B78" t="s">
        <v>184</v>
      </c>
      <c r="C78" t="s">
        <v>185</v>
      </c>
      <c r="D78" t="s">
        <v>186</v>
      </c>
      <c r="E78" t="s">
        <v>77</v>
      </c>
      <c r="F78">
        <v>49</v>
      </c>
      <c r="G78">
        <v>70</v>
      </c>
      <c r="H78">
        <v>160</v>
      </c>
      <c r="I78">
        <v>1790247</v>
      </c>
      <c r="J7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9" spans="1:10" x14ac:dyDescent="0.25">
      <c r="A79">
        <v>78</v>
      </c>
      <c r="B79" t="s">
        <v>208</v>
      </c>
      <c r="C79" t="s">
        <v>209</v>
      </c>
      <c r="D79" t="s">
        <v>210</v>
      </c>
      <c r="E79" t="s">
        <v>67</v>
      </c>
      <c r="F79">
        <v>28</v>
      </c>
      <c r="G79">
        <v>62</v>
      </c>
      <c r="H79">
        <v>13</v>
      </c>
      <c r="I79">
        <v>1787207</v>
      </c>
      <c r="J7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0" spans="1:10" x14ac:dyDescent="0.25">
      <c r="A80">
        <v>79</v>
      </c>
      <c r="B80" t="s">
        <v>358</v>
      </c>
      <c r="C80" t="s">
        <v>316</v>
      </c>
      <c r="D80" t="s">
        <v>359</v>
      </c>
      <c r="E80" t="s">
        <v>88</v>
      </c>
      <c r="F80">
        <v>79</v>
      </c>
      <c r="G80">
        <v>111</v>
      </c>
      <c r="H80">
        <v>11</v>
      </c>
      <c r="I80">
        <v>1746399</v>
      </c>
      <c r="J8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81" spans="1:10" x14ac:dyDescent="0.25">
      <c r="A81">
        <v>80</v>
      </c>
      <c r="B81" t="s">
        <v>309</v>
      </c>
      <c r="C81" t="s">
        <v>310</v>
      </c>
      <c r="D81" t="s">
        <v>311</v>
      </c>
      <c r="E81" t="s">
        <v>67</v>
      </c>
      <c r="F81">
        <v>15</v>
      </c>
      <c r="G81">
        <v>71</v>
      </c>
      <c r="H81">
        <v>39</v>
      </c>
      <c r="I81">
        <v>1745107</v>
      </c>
      <c r="J8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2" spans="1:10" x14ac:dyDescent="0.25">
      <c r="A82">
        <v>81</v>
      </c>
      <c r="B82" t="s">
        <v>211</v>
      </c>
      <c r="C82" t="s">
        <v>58</v>
      </c>
      <c r="D82" t="s">
        <v>212</v>
      </c>
      <c r="E82" t="s">
        <v>60</v>
      </c>
      <c r="F82">
        <v>34</v>
      </c>
      <c r="G82">
        <v>76</v>
      </c>
      <c r="H82">
        <v>10</v>
      </c>
      <c r="I82">
        <v>1743596</v>
      </c>
      <c r="J8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3" spans="1:10" x14ac:dyDescent="0.25">
      <c r="A83">
        <v>82</v>
      </c>
      <c r="B83" t="s">
        <v>172</v>
      </c>
      <c r="C83" t="s">
        <v>173</v>
      </c>
      <c r="D83" t="s">
        <v>174</v>
      </c>
      <c r="E83" t="s">
        <v>175</v>
      </c>
      <c r="F83">
        <v>21</v>
      </c>
      <c r="G83">
        <v>69</v>
      </c>
      <c r="H83">
        <v>19</v>
      </c>
      <c r="I83">
        <v>1740661</v>
      </c>
      <c r="J8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4" spans="1:10" x14ac:dyDescent="0.25">
      <c r="A84">
        <v>83</v>
      </c>
      <c r="B84" t="s">
        <v>1056</v>
      </c>
      <c r="C84" t="s">
        <v>298</v>
      </c>
      <c r="D84" t="s">
        <v>1057</v>
      </c>
      <c r="E84" t="s">
        <v>67</v>
      </c>
      <c r="F84">
        <v>83</v>
      </c>
      <c r="G84">
        <v>121</v>
      </c>
      <c r="H84">
        <v>2</v>
      </c>
      <c r="I84">
        <v>1737903</v>
      </c>
      <c r="J8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85" spans="1:10" x14ac:dyDescent="0.25">
      <c r="A85">
        <v>84</v>
      </c>
      <c r="B85" t="s">
        <v>284</v>
      </c>
      <c r="C85" t="s">
        <v>285</v>
      </c>
      <c r="D85" t="s">
        <v>286</v>
      </c>
      <c r="E85" t="s">
        <v>67</v>
      </c>
      <c r="F85">
        <v>84</v>
      </c>
      <c r="G85">
        <v>105</v>
      </c>
      <c r="H85">
        <v>5</v>
      </c>
      <c r="I85">
        <v>1735767</v>
      </c>
      <c r="J8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86" spans="1:10" x14ac:dyDescent="0.25">
      <c r="A86">
        <v>85</v>
      </c>
      <c r="B86" t="s">
        <v>246</v>
      </c>
      <c r="C86" t="s">
        <v>247</v>
      </c>
      <c r="D86" t="s">
        <v>248</v>
      </c>
      <c r="E86" t="s">
        <v>12</v>
      </c>
      <c r="F86">
        <v>46</v>
      </c>
      <c r="G86">
        <v>97</v>
      </c>
      <c r="H86">
        <v>21</v>
      </c>
      <c r="I86">
        <v>1733812</v>
      </c>
      <c r="J8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7" spans="1:10" x14ac:dyDescent="0.25">
      <c r="A87">
        <v>86</v>
      </c>
      <c r="B87" t="s">
        <v>280</v>
      </c>
      <c r="C87" t="s">
        <v>281</v>
      </c>
      <c r="D87" t="s">
        <v>282</v>
      </c>
      <c r="E87" t="s">
        <v>283</v>
      </c>
      <c r="F87">
        <v>83</v>
      </c>
      <c r="G87">
        <v>91</v>
      </c>
      <c r="H87">
        <v>45</v>
      </c>
      <c r="I87">
        <v>1721587</v>
      </c>
      <c r="J8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8" spans="1:10" x14ac:dyDescent="0.25">
      <c r="A88">
        <v>87</v>
      </c>
      <c r="B88" t="s">
        <v>264</v>
      </c>
      <c r="C88" t="s">
        <v>159</v>
      </c>
      <c r="D88" t="s">
        <v>265</v>
      </c>
      <c r="E88" t="s">
        <v>138</v>
      </c>
      <c r="F88">
        <v>5</v>
      </c>
      <c r="G88">
        <v>89</v>
      </c>
      <c r="H88">
        <v>47</v>
      </c>
      <c r="I88">
        <v>1714150</v>
      </c>
      <c r="J8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45596</v>
      </c>
    </row>
    <row r="89" spans="1:10" x14ac:dyDescent="0.25">
      <c r="A89">
        <v>88</v>
      </c>
      <c r="B89" t="s">
        <v>287</v>
      </c>
      <c r="C89" t="s">
        <v>288</v>
      </c>
      <c r="D89" t="s">
        <v>289</v>
      </c>
      <c r="E89" t="s">
        <v>290</v>
      </c>
      <c r="F89">
        <v>87</v>
      </c>
      <c r="G89">
        <v>87</v>
      </c>
      <c r="H89">
        <v>13</v>
      </c>
      <c r="I89">
        <v>1686656</v>
      </c>
      <c r="J8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0" spans="1:10" x14ac:dyDescent="0.25">
      <c r="A90">
        <v>89</v>
      </c>
      <c r="B90" t="s">
        <v>225</v>
      </c>
      <c r="C90" t="s">
        <v>226</v>
      </c>
      <c r="D90" t="s">
        <v>227</v>
      </c>
      <c r="E90" t="s">
        <v>228</v>
      </c>
      <c r="F90">
        <v>51</v>
      </c>
      <c r="G90">
        <v>85</v>
      </c>
      <c r="H90">
        <v>12</v>
      </c>
      <c r="I90">
        <v>1674191</v>
      </c>
      <c r="J9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1" spans="1:10" x14ac:dyDescent="0.25">
      <c r="A91">
        <v>90</v>
      </c>
      <c r="B91" t="s">
        <v>387</v>
      </c>
      <c r="C91" t="s">
        <v>388</v>
      </c>
      <c r="D91" t="s">
        <v>389</v>
      </c>
      <c r="E91" t="s">
        <v>388</v>
      </c>
      <c r="F91">
        <v>43</v>
      </c>
      <c r="G91">
        <v>100</v>
      </c>
      <c r="H91">
        <v>25</v>
      </c>
      <c r="I91">
        <v>1671113</v>
      </c>
      <c r="J9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2" spans="1:10" x14ac:dyDescent="0.25">
      <c r="A92">
        <v>91</v>
      </c>
      <c r="B92" t="s">
        <v>229</v>
      </c>
      <c r="C92" t="s">
        <v>230</v>
      </c>
      <c r="D92" t="s">
        <v>231</v>
      </c>
      <c r="E92" t="s">
        <v>232</v>
      </c>
      <c r="F92">
        <v>5</v>
      </c>
      <c r="G92">
        <v>77</v>
      </c>
      <c r="H92">
        <v>55</v>
      </c>
      <c r="I92">
        <v>1668372</v>
      </c>
      <c r="J9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3" spans="1:10" x14ac:dyDescent="0.25">
      <c r="A93">
        <v>92</v>
      </c>
      <c r="B93" t="s">
        <v>367</v>
      </c>
      <c r="C93" t="s">
        <v>368</v>
      </c>
      <c r="D93" t="s">
        <v>369</v>
      </c>
      <c r="E93" t="s">
        <v>370</v>
      </c>
      <c r="F93">
        <v>72</v>
      </c>
      <c r="G93">
        <v>110</v>
      </c>
      <c r="H93">
        <v>87</v>
      </c>
      <c r="I93">
        <v>1651066</v>
      </c>
      <c r="J9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4" spans="1:10" x14ac:dyDescent="0.25">
      <c r="A94">
        <v>93</v>
      </c>
      <c r="B94" t="s">
        <v>362</v>
      </c>
      <c r="C94" t="s">
        <v>363</v>
      </c>
      <c r="D94" t="s">
        <v>364</v>
      </c>
      <c r="E94" t="s">
        <v>131</v>
      </c>
      <c r="F94">
        <v>93</v>
      </c>
      <c r="G94">
        <v>126</v>
      </c>
      <c r="H94">
        <v>11</v>
      </c>
      <c r="I94">
        <v>1650274</v>
      </c>
      <c r="J9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95" spans="1:10" x14ac:dyDescent="0.25">
      <c r="A95">
        <v>94</v>
      </c>
      <c r="B95" t="s">
        <v>354</v>
      </c>
      <c r="C95" t="s">
        <v>36</v>
      </c>
      <c r="D95" t="s">
        <v>355</v>
      </c>
      <c r="E95" t="s">
        <v>12</v>
      </c>
      <c r="F95">
        <v>74</v>
      </c>
      <c r="G95">
        <v>83</v>
      </c>
      <c r="H95">
        <v>11</v>
      </c>
      <c r="I95">
        <v>1646982</v>
      </c>
      <c r="J9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6" spans="1:10" x14ac:dyDescent="0.25">
      <c r="A96">
        <v>95</v>
      </c>
      <c r="B96" t="s">
        <v>297</v>
      </c>
      <c r="C96" t="s">
        <v>298</v>
      </c>
      <c r="D96" t="s">
        <v>299</v>
      </c>
      <c r="E96" t="s">
        <v>67</v>
      </c>
      <c r="F96">
        <v>15</v>
      </c>
      <c r="G96">
        <v>88</v>
      </c>
      <c r="H96">
        <v>61</v>
      </c>
      <c r="I96">
        <v>1642046</v>
      </c>
      <c r="J9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7" spans="1:10" x14ac:dyDescent="0.25">
      <c r="A97">
        <v>96</v>
      </c>
      <c r="B97" t="s">
        <v>272</v>
      </c>
      <c r="C97" t="s">
        <v>273</v>
      </c>
      <c r="D97" t="s">
        <v>274</v>
      </c>
      <c r="E97" t="s">
        <v>275</v>
      </c>
      <c r="F97">
        <v>81</v>
      </c>
      <c r="G97">
        <v>90</v>
      </c>
      <c r="H97">
        <v>9</v>
      </c>
      <c r="I97">
        <v>1633190</v>
      </c>
      <c r="J9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8" spans="1:10" x14ac:dyDescent="0.25">
      <c r="A98">
        <v>97</v>
      </c>
      <c r="B98" t="s">
        <v>249</v>
      </c>
      <c r="C98" t="s">
        <v>250</v>
      </c>
      <c r="D98" t="s">
        <v>251</v>
      </c>
      <c r="E98" t="s">
        <v>24</v>
      </c>
      <c r="F98">
        <v>12</v>
      </c>
      <c r="G98">
        <v>72</v>
      </c>
      <c r="H98">
        <v>90</v>
      </c>
      <c r="I98">
        <v>1624280</v>
      </c>
      <c r="J9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9" spans="1:10" x14ac:dyDescent="0.25">
      <c r="A99">
        <v>98</v>
      </c>
      <c r="B99" t="s">
        <v>318</v>
      </c>
      <c r="C99" t="s">
        <v>319</v>
      </c>
      <c r="D99" t="s">
        <v>320</v>
      </c>
      <c r="E99" t="s">
        <v>321</v>
      </c>
      <c r="F99">
        <v>67</v>
      </c>
      <c r="G99">
        <v>113</v>
      </c>
      <c r="H99">
        <v>6</v>
      </c>
      <c r="I99">
        <v>1612873</v>
      </c>
      <c r="J9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0" spans="1:10" x14ac:dyDescent="0.25">
      <c r="A100">
        <v>99</v>
      </c>
      <c r="B100" t="s">
        <v>390</v>
      </c>
      <c r="C100" t="s">
        <v>391</v>
      </c>
      <c r="D100" t="s">
        <v>392</v>
      </c>
      <c r="E100" t="s">
        <v>393</v>
      </c>
      <c r="F100">
        <v>11</v>
      </c>
      <c r="G100">
        <v>98</v>
      </c>
      <c r="H100">
        <v>50</v>
      </c>
      <c r="I100">
        <v>1605691</v>
      </c>
      <c r="J10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1" spans="1:10" x14ac:dyDescent="0.25">
      <c r="A101">
        <v>100</v>
      </c>
      <c r="B101" t="s">
        <v>254</v>
      </c>
      <c r="C101" t="s">
        <v>43</v>
      </c>
      <c r="D101" t="s">
        <v>255</v>
      </c>
      <c r="E101" t="s">
        <v>31</v>
      </c>
      <c r="F101">
        <v>34</v>
      </c>
      <c r="G101">
        <v>93</v>
      </c>
      <c r="H101">
        <v>188</v>
      </c>
      <c r="I101">
        <v>1587450</v>
      </c>
      <c r="J10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2" spans="1:10" x14ac:dyDescent="0.25">
      <c r="A102">
        <v>101</v>
      </c>
      <c r="B102" t="s">
        <v>441</v>
      </c>
      <c r="C102" t="s">
        <v>442</v>
      </c>
      <c r="D102" t="s">
        <v>443</v>
      </c>
      <c r="E102" t="s">
        <v>12</v>
      </c>
      <c r="F102">
        <v>10</v>
      </c>
      <c r="G102">
        <v>117</v>
      </c>
      <c r="H102">
        <v>57</v>
      </c>
      <c r="I102">
        <v>1581146</v>
      </c>
      <c r="J10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3" spans="1:10" x14ac:dyDescent="0.25">
      <c r="A103">
        <v>102</v>
      </c>
      <c r="B103" t="s">
        <v>312</v>
      </c>
      <c r="C103" t="s">
        <v>313</v>
      </c>
      <c r="D103" t="s">
        <v>314</v>
      </c>
      <c r="E103" t="s">
        <v>228</v>
      </c>
      <c r="F103">
        <v>102</v>
      </c>
      <c r="G103">
        <v>115</v>
      </c>
      <c r="H103">
        <v>5</v>
      </c>
      <c r="I103">
        <v>1580954</v>
      </c>
      <c r="J10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04" spans="1:10" x14ac:dyDescent="0.25">
      <c r="A104">
        <v>103</v>
      </c>
      <c r="B104" t="s">
        <v>383</v>
      </c>
      <c r="C104" t="s">
        <v>384</v>
      </c>
      <c r="D104" t="s">
        <v>385</v>
      </c>
      <c r="E104" t="s">
        <v>386</v>
      </c>
      <c r="F104">
        <v>1</v>
      </c>
      <c r="G104">
        <v>102</v>
      </c>
      <c r="H104">
        <v>43</v>
      </c>
      <c r="I104">
        <v>1578485</v>
      </c>
      <c r="J10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5" spans="1:10" x14ac:dyDescent="0.25">
      <c r="A105">
        <v>104</v>
      </c>
      <c r="B105" t="s">
        <v>356</v>
      </c>
      <c r="C105" t="s">
        <v>43</v>
      </c>
      <c r="D105" t="s">
        <v>357</v>
      </c>
      <c r="E105" t="s">
        <v>31</v>
      </c>
      <c r="F105">
        <v>23</v>
      </c>
      <c r="G105">
        <v>94</v>
      </c>
      <c r="H105">
        <v>146</v>
      </c>
      <c r="I105">
        <v>1574024</v>
      </c>
      <c r="J10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6" spans="1:10" x14ac:dyDescent="0.25">
      <c r="A106">
        <v>105</v>
      </c>
      <c r="B106" t="s">
        <v>276</v>
      </c>
      <c r="C106" t="s">
        <v>277</v>
      </c>
      <c r="D106" t="s">
        <v>278</v>
      </c>
      <c r="E106" t="s">
        <v>279</v>
      </c>
      <c r="F106">
        <v>82</v>
      </c>
      <c r="G106">
        <v>82</v>
      </c>
      <c r="H106">
        <v>20</v>
      </c>
      <c r="I106">
        <v>1567304</v>
      </c>
      <c r="J10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7" spans="1:10" x14ac:dyDescent="0.25">
      <c r="A107">
        <v>106</v>
      </c>
      <c r="B107" t="s">
        <v>460</v>
      </c>
      <c r="C107" t="s">
        <v>461</v>
      </c>
      <c r="D107" t="s">
        <v>462</v>
      </c>
      <c r="E107" t="s">
        <v>98</v>
      </c>
      <c r="F107">
        <v>106</v>
      </c>
      <c r="G107">
        <v>-1</v>
      </c>
      <c r="H107">
        <v>1</v>
      </c>
      <c r="I107">
        <v>1564833</v>
      </c>
      <c r="J10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08" spans="1:10" x14ac:dyDescent="0.25">
      <c r="A108">
        <v>107</v>
      </c>
      <c r="B108" t="s">
        <v>217</v>
      </c>
      <c r="C108" t="s">
        <v>218</v>
      </c>
      <c r="D108" t="s">
        <v>219</v>
      </c>
      <c r="E108" t="s">
        <v>88</v>
      </c>
      <c r="F108">
        <v>72</v>
      </c>
      <c r="G108">
        <v>75</v>
      </c>
      <c r="H108">
        <v>32</v>
      </c>
      <c r="I108">
        <v>1560764</v>
      </c>
      <c r="J10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9" spans="1:10" x14ac:dyDescent="0.25">
      <c r="A109">
        <v>108</v>
      </c>
      <c r="B109" t="s">
        <v>307</v>
      </c>
      <c r="C109" t="s">
        <v>29</v>
      </c>
      <c r="D109" t="s">
        <v>308</v>
      </c>
      <c r="E109" t="s">
        <v>31</v>
      </c>
      <c r="F109">
        <v>1</v>
      </c>
      <c r="G109">
        <v>99</v>
      </c>
      <c r="H109">
        <v>74</v>
      </c>
      <c r="I109">
        <v>1543525</v>
      </c>
      <c r="J10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0" spans="1:10" x14ac:dyDescent="0.25">
      <c r="A110">
        <v>109</v>
      </c>
      <c r="B110" t="s">
        <v>1053</v>
      </c>
      <c r="C110" t="s">
        <v>33</v>
      </c>
      <c r="D110" t="s">
        <v>1054</v>
      </c>
      <c r="E110" t="s">
        <v>12</v>
      </c>
      <c r="F110">
        <v>80</v>
      </c>
      <c r="G110">
        <v>80</v>
      </c>
      <c r="H110">
        <v>4</v>
      </c>
      <c r="I110">
        <v>1542666</v>
      </c>
      <c r="J11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1" spans="1:10" x14ac:dyDescent="0.25">
      <c r="A111">
        <v>110</v>
      </c>
      <c r="B111" t="s">
        <v>338</v>
      </c>
      <c r="C111" t="s">
        <v>339</v>
      </c>
      <c r="D111" t="s">
        <v>340</v>
      </c>
      <c r="E111" t="s">
        <v>341</v>
      </c>
      <c r="F111">
        <v>79</v>
      </c>
      <c r="G111">
        <v>116</v>
      </c>
      <c r="H111">
        <v>140</v>
      </c>
      <c r="I111">
        <v>1530361</v>
      </c>
      <c r="J11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2" spans="1:10" x14ac:dyDescent="0.25">
      <c r="A112">
        <v>111</v>
      </c>
      <c r="B112" t="s">
        <v>424</v>
      </c>
      <c r="C112" t="s">
        <v>425</v>
      </c>
      <c r="D112" t="s">
        <v>426</v>
      </c>
      <c r="E112" t="s">
        <v>427</v>
      </c>
      <c r="F112">
        <v>97</v>
      </c>
      <c r="G112">
        <v>174</v>
      </c>
      <c r="H112">
        <v>18</v>
      </c>
      <c r="I112">
        <v>1520630</v>
      </c>
      <c r="J11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3" spans="1:10" x14ac:dyDescent="0.25">
      <c r="A113">
        <v>112</v>
      </c>
      <c r="B113" t="s">
        <v>876</v>
      </c>
      <c r="C113" t="s">
        <v>877</v>
      </c>
      <c r="D113" t="s">
        <v>878</v>
      </c>
      <c r="E113" t="s">
        <v>879</v>
      </c>
      <c r="F113">
        <v>112</v>
      </c>
      <c r="G113">
        <v>170</v>
      </c>
      <c r="H113">
        <v>2</v>
      </c>
      <c r="I113">
        <v>1517638</v>
      </c>
      <c r="J11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14" spans="1:10" x14ac:dyDescent="0.25">
      <c r="A114">
        <v>113</v>
      </c>
      <c r="B114" t="s">
        <v>408</v>
      </c>
      <c r="C114" t="s">
        <v>409</v>
      </c>
      <c r="D114" t="s">
        <v>410</v>
      </c>
      <c r="E114" t="s">
        <v>31</v>
      </c>
      <c r="F114">
        <v>83</v>
      </c>
      <c r="G114">
        <v>104</v>
      </c>
      <c r="H114">
        <v>47</v>
      </c>
      <c r="I114">
        <v>1517452</v>
      </c>
      <c r="J11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5" spans="1:10" x14ac:dyDescent="0.25">
      <c r="A115">
        <v>114</v>
      </c>
      <c r="B115" t="s">
        <v>456</v>
      </c>
      <c r="C115" t="s">
        <v>69</v>
      </c>
      <c r="D115" t="s">
        <v>457</v>
      </c>
      <c r="E115" t="s">
        <v>67</v>
      </c>
      <c r="F115">
        <v>114</v>
      </c>
      <c r="G115">
        <v>151</v>
      </c>
      <c r="H115">
        <v>3</v>
      </c>
      <c r="I115">
        <v>1516774</v>
      </c>
      <c r="J11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16" spans="1:10" x14ac:dyDescent="0.25">
      <c r="A116">
        <v>115</v>
      </c>
      <c r="B116" t="s">
        <v>516</v>
      </c>
      <c r="C116" t="s">
        <v>517</v>
      </c>
      <c r="D116" t="s">
        <v>518</v>
      </c>
      <c r="E116" t="s">
        <v>519</v>
      </c>
      <c r="F116">
        <v>66</v>
      </c>
      <c r="G116">
        <v>144</v>
      </c>
      <c r="H116">
        <v>5</v>
      </c>
      <c r="I116">
        <v>1503370</v>
      </c>
      <c r="J11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7" spans="1:10" x14ac:dyDescent="0.25">
      <c r="A117">
        <v>116</v>
      </c>
      <c r="B117" t="s">
        <v>252</v>
      </c>
      <c r="C117" t="s">
        <v>33</v>
      </c>
      <c r="D117" t="s">
        <v>253</v>
      </c>
      <c r="E117" t="s">
        <v>12</v>
      </c>
      <c r="F117">
        <v>52</v>
      </c>
      <c r="G117">
        <v>67</v>
      </c>
      <c r="H117">
        <v>46</v>
      </c>
      <c r="I117">
        <v>1502224</v>
      </c>
      <c r="J11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8" spans="1:10" x14ac:dyDescent="0.25">
      <c r="A118">
        <v>117</v>
      </c>
      <c r="B118" t="s">
        <v>304</v>
      </c>
      <c r="C118" t="s">
        <v>115</v>
      </c>
      <c r="D118" t="s">
        <v>305</v>
      </c>
      <c r="E118" t="s">
        <v>306</v>
      </c>
      <c r="F118">
        <v>45</v>
      </c>
      <c r="G118">
        <v>96</v>
      </c>
      <c r="H118">
        <v>16</v>
      </c>
      <c r="I118">
        <v>1496060</v>
      </c>
      <c r="J11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9" spans="1:10" x14ac:dyDescent="0.25">
      <c r="A119">
        <v>118</v>
      </c>
      <c r="B119" t="s">
        <v>322</v>
      </c>
      <c r="C119" t="s">
        <v>323</v>
      </c>
      <c r="D119" t="s">
        <v>324</v>
      </c>
      <c r="E119" t="s">
        <v>88</v>
      </c>
      <c r="F119">
        <v>106</v>
      </c>
      <c r="G119">
        <v>106</v>
      </c>
      <c r="H119">
        <v>8</v>
      </c>
      <c r="I119">
        <v>1493506</v>
      </c>
      <c r="J11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0" spans="1:10" x14ac:dyDescent="0.25">
      <c r="A120">
        <v>119</v>
      </c>
      <c r="B120" t="s">
        <v>446</v>
      </c>
      <c r="C120" t="s">
        <v>447</v>
      </c>
      <c r="D120" t="s">
        <v>448</v>
      </c>
      <c r="E120" t="s">
        <v>67</v>
      </c>
      <c r="F120">
        <v>10</v>
      </c>
      <c r="G120">
        <v>120</v>
      </c>
      <c r="H120">
        <v>107</v>
      </c>
      <c r="I120">
        <v>1486404</v>
      </c>
      <c r="J12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1" spans="1:10" x14ac:dyDescent="0.25">
      <c r="A121">
        <v>120</v>
      </c>
      <c r="B121" t="s">
        <v>371</v>
      </c>
      <c r="C121" t="s">
        <v>372</v>
      </c>
      <c r="D121" t="s">
        <v>373</v>
      </c>
      <c r="E121" t="s">
        <v>67</v>
      </c>
      <c r="F121">
        <v>2</v>
      </c>
      <c r="G121">
        <v>123</v>
      </c>
      <c r="H121">
        <v>98</v>
      </c>
      <c r="I121">
        <v>1484328</v>
      </c>
      <c r="J12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2" spans="1:10" x14ac:dyDescent="0.25">
      <c r="A122">
        <v>121</v>
      </c>
      <c r="B122" t="s">
        <v>1075</v>
      </c>
      <c r="C122" t="s">
        <v>1076</v>
      </c>
      <c r="D122" t="s">
        <v>1077</v>
      </c>
      <c r="E122" t="s">
        <v>1078</v>
      </c>
      <c r="F122">
        <v>52</v>
      </c>
      <c r="G122">
        <v>146</v>
      </c>
      <c r="H122">
        <v>7</v>
      </c>
      <c r="I122">
        <v>1476498</v>
      </c>
      <c r="J12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3" spans="1:10" x14ac:dyDescent="0.25">
      <c r="A123">
        <v>122</v>
      </c>
      <c r="B123" t="s">
        <v>4299</v>
      </c>
      <c r="C123" t="s">
        <v>496</v>
      </c>
      <c r="D123" t="s">
        <v>4231</v>
      </c>
      <c r="E123" t="s">
        <v>1133</v>
      </c>
      <c r="F123">
        <v>122</v>
      </c>
      <c r="G123">
        <v>-1</v>
      </c>
      <c r="H123">
        <v>1</v>
      </c>
      <c r="I123">
        <v>1467917</v>
      </c>
      <c r="J12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24" spans="1:10" x14ac:dyDescent="0.25">
      <c r="A124">
        <v>123</v>
      </c>
      <c r="B124" t="s">
        <v>325</v>
      </c>
      <c r="C124" t="s">
        <v>326</v>
      </c>
      <c r="D124" t="s">
        <v>327</v>
      </c>
      <c r="E124" t="s">
        <v>24</v>
      </c>
      <c r="F124">
        <v>77</v>
      </c>
      <c r="G124">
        <v>124</v>
      </c>
      <c r="H124">
        <v>44</v>
      </c>
      <c r="I124">
        <v>1461947</v>
      </c>
      <c r="J12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5" spans="1:10" x14ac:dyDescent="0.25">
      <c r="A125">
        <v>124</v>
      </c>
      <c r="B125" t="s">
        <v>1055</v>
      </c>
      <c r="C125" t="s">
        <v>266</v>
      </c>
      <c r="D125" t="s">
        <v>267</v>
      </c>
      <c r="E125" t="s">
        <v>268</v>
      </c>
      <c r="F125">
        <v>100</v>
      </c>
      <c r="G125">
        <v>127</v>
      </c>
      <c r="H125">
        <v>11</v>
      </c>
      <c r="I125">
        <v>1460777</v>
      </c>
      <c r="J12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6" spans="1:10" x14ac:dyDescent="0.25">
      <c r="A126">
        <v>125</v>
      </c>
      <c r="B126" t="s">
        <v>4206</v>
      </c>
      <c r="C126" t="s">
        <v>159</v>
      </c>
      <c r="D126" t="s">
        <v>4207</v>
      </c>
      <c r="E126" t="s">
        <v>138</v>
      </c>
      <c r="F126">
        <v>125</v>
      </c>
      <c r="G126">
        <v>-1</v>
      </c>
      <c r="H126">
        <v>1</v>
      </c>
      <c r="I126">
        <v>1460250</v>
      </c>
      <c r="J12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27" spans="1:10" x14ac:dyDescent="0.25">
      <c r="A127">
        <v>126</v>
      </c>
      <c r="B127" t="s">
        <v>365</v>
      </c>
      <c r="C127" t="s">
        <v>93</v>
      </c>
      <c r="D127" t="s">
        <v>366</v>
      </c>
      <c r="E127" t="s">
        <v>24</v>
      </c>
      <c r="F127">
        <v>94</v>
      </c>
      <c r="G127">
        <v>119</v>
      </c>
      <c r="H127">
        <v>3</v>
      </c>
      <c r="I127">
        <v>1458520</v>
      </c>
      <c r="J12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8" spans="1:10" x14ac:dyDescent="0.25">
      <c r="A128">
        <v>127</v>
      </c>
      <c r="B128" t="s">
        <v>435</v>
      </c>
      <c r="C128" t="s">
        <v>436</v>
      </c>
      <c r="D128" t="s">
        <v>437</v>
      </c>
      <c r="E128" t="s">
        <v>436</v>
      </c>
      <c r="F128">
        <v>127</v>
      </c>
      <c r="G128">
        <v>149</v>
      </c>
      <c r="H128">
        <v>13</v>
      </c>
      <c r="I128">
        <v>1453346</v>
      </c>
      <c r="J12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29" spans="1:10" x14ac:dyDescent="0.25">
      <c r="A129">
        <v>128</v>
      </c>
      <c r="B129" t="s">
        <v>256</v>
      </c>
      <c r="C129" t="s">
        <v>257</v>
      </c>
      <c r="D129" t="s">
        <v>258</v>
      </c>
      <c r="E129" t="s">
        <v>259</v>
      </c>
      <c r="F129">
        <v>54</v>
      </c>
      <c r="G129">
        <v>92</v>
      </c>
      <c r="H129">
        <v>9</v>
      </c>
      <c r="I129">
        <v>1451213</v>
      </c>
      <c r="J12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0" spans="1:10" x14ac:dyDescent="0.25">
      <c r="A130">
        <v>129</v>
      </c>
      <c r="B130" t="s">
        <v>328</v>
      </c>
      <c r="C130" t="s">
        <v>329</v>
      </c>
      <c r="D130" t="s">
        <v>330</v>
      </c>
      <c r="E130" t="s">
        <v>268</v>
      </c>
      <c r="F130">
        <v>48</v>
      </c>
      <c r="G130">
        <v>132</v>
      </c>
      <c r="H130">
        <v>47</v>
      </c>
      <c r="I130">
        <v>1448662</v>
      </c>
      <c r="J13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1" spans="1:10" x14ac:dyDescent="0.25">
      <c r="A131">
        <v>130</v>
      </c>
      <c r="B131" t="s">
        <v>433</v>
      </c>
      <c r="C131" t="s">
        <v>46</v>
      </c>
      <c r="D131" t="s">
        <v>434</v>
      </c>
      <c r="E131" t="s">
        <v>12</v>
      </c>
      <c r="F131">
        <v>2</v>
      </c>
      <c r="G131">
        <v>129</v>
      </c>
      <c r="H131">
        <v>131</v>
      </c>
      <c r="I131">
        <v>1439374</v>
      </c>
      <c r="J13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2" spans="1:10" x14ac:dyDescent="0.25">
      <c r="A132">
        <v>131</v>
      </c>
      <c r="B132" t="s">
        <v>380</v>
      </c>
      <c r="C132" t="s">
        <v>381</v>
      </c>
      <c r="D132" t="s">
        <v>382</v>
      </c>
      <c r="E132" t="s">
        <v>268</v>
      </c>
      <c r="F132">
        <v>69</v>
      </c>
      <c r="G132">
        <v>136</v>
      </c>
      <c r="H132">
        <v>79</v>
      </c>
      <c r="I132">
        <v>1436882</v>
      </c>
      <c r="J13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3" spans="1:10" x14ac:dyDescent="0.25">
      <c r="A133">
        <v>132</v>
      </c>
      <c r="B133" t="s">
        <v>269</v>
      </c>
      <c r="C133" t="s">
        <v>270</v>
      </c>
      <c r="D133" t="s">
        <v>271</v>
      </c>
      <c r="E133" t="s">
        <v>24</v>
      </c>
      <c r="F133">
        <v>55</v>
      </c>
      <c r="G133">
        <v>107</v>
      </c>
      <c r="H133">
        <v>10</v>
      </c>
      <c r="I133">
        <v>1436786</v>
      </c>
      <c r="J13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4" spans="1:10" x14ac:dyDescent="0.25">
      <c r="A134">
        <v>133</v>
      </c>
      <c r="B134" t="s">
        <v>4343</v>
      </c>
      <c r="C134" t="s">
        <v>4344</v>
      </c>
      <c r="D134" t="s">
        <v>4345</v>
      </c>
      <c r="E134" t="s">
        <v>24</v>
      </c>
      <c r="F134">
        <v>133</v>
      </c>
      <c r="G134">
        <v>-1</v>
      </c>
      <c r="H134">
        <v>1</v>
      </c>
      <c r="I134">
        <v>1427834</v>
      </c>
      <c r="J13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35" spans="1:10" x14ac:dyDescent="0.25">
      <c r="A135">
        <v>134</v>
      </c>
      <c r="B135" t="s">
        <v>334</v>
      </c>
      <c r="C135" t="s">
        <v>335</v>
      </c>
      <c r="D135" t="s">
        <v>336</v>
      </c>
      <c r="E135" t="s">
        <v>337</v>
      </c>
      <c r="F135">
        <v>40</v>
      </c>
      <c r="G135">
        <v>122</v>
      </c>
      <c r="H135">
        <v>77</v>
      </c>
      <c r="I135">
        <v>1424707</v>
      </c>
      <c r="J13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6" spans="1:10" x14ac:dyDescent="0.25">
      <c r="A136">
        <v>135</v>
      </c>
      <c r="B136" t="s">
        <v>4346</v>
      </c>
      <c r="C136" t="s">
        <v>864</v>
      </c>
      <c r="D136" t="s">
        <v>4347</v>
      </c>
      <c r="E136" t="s">
        <v>2420</v>
      </c>
      <c r="F136">
        <v>135</v>
      </c>
      <c r="G136">
        <v>-1</v>
      </c>
      <c r="H136">
        <v>1</v>
      </c>
      <c r="I136">
        <v>1420146</v>
      </c>
      <c r="J13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37" spans="1:10" x14ac:dyDescent="0.25">
      <c r="A137">
        <v>136</v>
      </c>
      <c r="B137" t="s">
        <v>4204</v>
      </c>
      <c r="C137" t="s">
        <v>159</v>
      </c>
      <c r="D137" t="s">
        <v>4205</v>
      </c>
      <c r="E137" t="s">
        <v>138</v>
      </c>
      <c r="F137">
        <v>136</v>
      </c>
      <c r="G137">
        <v>-1</v>
      </c>
      <c r="H137">
        <v>1</v>
      </c>
      <c r="I137">
        <v>1416305</v>
      </c>
      <c r="J13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38" spans="1:10" x14ac:dyDescent="0.25">
      <c r="A138">
        <v>137</v>
      </c>
      <c r="B138" t="s">
        <v>411</v>
      </c>
      <c r="C138" t="s">
        <v>412</v>
      </c>
      <c r="D138" t="s">
        <v>413</v>
      </c>
      <c r="E138" t="s">
        <v>414</v>
      </c>
      <c r="F138">
        <v>58</v>
      </c>
      <c r="G138">
        <v>131</v>
      </c>
      <c r="H138">
        <v>36</v>
      </c>
      <c r="I138">
        <v>1411932</v>
      </c>
      <c r="J13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9" spans="1:10" x14ac:dyDescent="0.25">
      <c r="A139">
        <v>138</v>
      </c>
      <c r="B139" t="s">
        <v>1097</v>
      </c>
      <c r="C139" t="s">
        <v>1098</v>
      </c>
      <c r="D139" t="s">
        <v>1099</v>
      </c>
      <c r="E139" t="s">
        <v>1019</v>
      </c>
      <c r="F139">
        <v>138</v>
      </c>
      <c r="G139">
        <v>157</v>
      </c>
      <c r="H139">
        <v>2</v>
      </c>
      <c r="I139">
        <v>1409676</v>
      </c>
      <c r="J13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40" spans="1:10" x14ac:dyDescent="0.25">
      <c r="A140">
        <v>139</v>
      </c>
      <c r="B140" t="s">
        <v>206</v>
      </c>
      <c r="C140" t="s">
        <v>22</v>
      </c>
      <c r="D140" t="s">
        <v>207</v>
      </c>
      <c r="E140" t="s">
        <v>24</v>
      </c>
      <c r="F140">
        <v>27</v>
      </c>
      <c r="G140">
        <v>81</v>
      </c>
      <c r="H140">
        <v>80</v>
      </c>
      <c r="I140">
        <v>1407893</v>
      </c>
      <c r="J14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1" spans="1:10" x14ac:dyDescent="0.25">
      <c r="A141">
        <v>140</v>
      </c>
      <c r="B141" t="s">
        <v>4304</v>
      </c>
      <c r="C141" t="s">
        <v>496</v>
      </c>
      <c r="D141" t="s">
        <v>4239</v>
      </c>
      <c r="E141" t="s">
        <v>1133</v>
      </c>
      <c r="F141">
        <v>140</v>
      </c>
      <c r="G141">
        <v>-1</v>
      </c>
      <c r="H141">
        <v>1</v>
      </c>
      <c r="I141">
        <v>1402858</v>
      </c>
      <c r="J14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42" spans="1:10" x14ac:dyDescent="0.25">
      <c r="A142">
        <v>141</v>
      </c>
      <c r="B142" t="s">
        <v>431</v>
      </c>
      <c r="C142" t="s">
        <v>43</v>
      </c>
      <c r="D142" t="s">
        <v>432</v>
      </c>
      <c r="E142" t="s">
        <v>31</v>
      </c>
      <c r="F142">
        <v>65</v>
      </c>
      <c r="G142">
        <v>139</v>
      </c>
      <c r="H142">
        <v>132</v>
      </c>
      <c r="I142">
        <v>1394511</v>
      </c>
      <c r="J14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3" spans="1:10" x14ac:dyDescent="0.25">
      <c r="A143">
        <v>142</v>
      </c>
      <c r="B143" t="s">
        <v>222</v>
      </c>
      <c r="C143" t="s">
        <v>3915</v>
      </c>
      <c r="D143" t="s">
        <v>223</v>
      </c>
      <c r="E143" t="s">
        <v>224</v>
      </c>
      <c r="F143">
        <v>51</v>
      </c>
      <c r="G143">
        <v>79</v>
      </c>
      <c r="H143">
        <v>12</v>
      </c>
      <c r="I143">
        <v>1394226</v>
      </c>
      <c r="J14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4" spans="1:10" x14ac:dyDescent="0.25">
      <c r="A144">
        <v>143</v>
      </c>
      <c r="B144" t="s">
        <v>204</v>
      </c>
      <c r="C144" t="s">
        <v>22</v>
      </c>
      <c r="D144" t="s">
        <v>205</v>
      </c>
      <c r="E144" t="s">
        <v>24</v>
      </c>
      <c r="F144">
        <v>28</v>
      </c>
      <c r="G144">
        <v>73</v>
      </c>
      <c r="H144">
        <v>23</v>
      </c>
      <c r="I144">
        <v>1384145</v>
      </c>
      <c r="J14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5" spans="1:10" x14ac:dyDescent="0.25">
      <c r="A145">
        <v>144</v>
      </c>
      <c r="B145" t="s">
        <v>260</v>
      </c>
      <c r="C145" t="s">
        <v>261</v>
      </c>
      <c r="D145" t="s">
        <v>262</v>
      </c>
      <c r="E145" t="s">
        <v>263</v>
      </c>
      <c r="F145">
        <v>23</v>
      </c>
      <c r="G145">
        <v>114</v>
      </c>
      <c r="H145">
        <v>31</v>
      </c>
      <c r="I145">
        <v>1380278</v>
      </c>
      <c r="J14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6" spans="1:10" x14ac:dyDescent="0.25">
      <c r="A146">
        <v>145</v>
      </c>
      <c r="B146" t="s">
        <v>4300</v>
      </c>
      <c r="C146" t="s">
        <v>496</v>
      </c>
      <c r="D146" t="s">
        <v>4233</v>
      </c>
      <c r="E146" t="s">
        <v>1133</v>
      </c>
      <c r="F146">
        <v>145</v>
      </c>
      <c r="G146">
        <v>-1</v>
      </c>
      <c r="H146">
        <v>1</v>
      </c>
      <c r="I146">
        <v>1374655</v>
      </c>
      <c r="J14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47" spans="1:10" x14ac:dyDescent="0.25">
      <c r="A147">
        <v>146</v>
      </c>
      <c r="B147" t="s">
        <v>465</v>
      </c>
      <c r="C147" t="s">
        <v>93</v>
      </c>
      <c r="D147" t="s">
        <v>466</v>
      </c>
      <c r="E147" t="s">
        <v>24</v>
      </c>
      <c r="F147">
        <v>122</v>
      </c>
      <c r="G147">
        <v>145</v>
      </c>
      <c r="H147">
        <v>3</v>
      </c>
      <c r="I147">
        <v>1371207</v>
      </c>
      <c r="J14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8" spans="1:10" x14ac:dyDescent="0.25">
      <c r="A148">
        <v>147</v>
      </c>
      <c r="B148" t="s">
        <v>394</v>
      </c>
      <c r="C148" t="s">
        <v>22</v>
      </c>
      <c r="D148" t="s">
        <v>395</v>
      </c>
      <c r="E148" t="s">
        <v>24</v>
      </c>
      <c r="F148">
        <v>97</v>
      </c>
      <c r="G148">
        <v>109</v>
      </c>
      <c r="H148">
        <v>4</v>
      </c>
      <c r="I148">
        <v>1365436</v>
      </c>
      <c r="J14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9" spans="1:10" x14ac:dyDescent="0.25">
      <c r="A149">
        <v>148</v>
      </c>
      <c r="B149" t="s">
        <v>502</v>
      </c>
      <c r="C149" t="s">
        <v>503</v>
      </c>
      <c r="D149" t="s">
        <v>504</v>
      </c>
      <c r="E149" t="s">
        <v>505</v>
      </c>
      <c r="F149">
        <v>100</v>
      </c>
      <c r="G149">
        <v>179</v>
      </c>
      <c r="H149">
        <v>10</v>
      </c>
      <c r="I149">
        <v>1364960</v>
      </c>
      <c r="J14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0" spans="1:10" x14ac:dyDescent="0.25">
      <c r="A150">
        <v>149</v>
      </c>
      <c r="B150" t="s">
        <v>4496</v>
      </c>
      <c r="C150" t="s">
        <v>4497</v>
      </c>
      <c r="D150" t="s">
        <v>1080</v>
      </c>
      <c r="E150" t="s">
        <v>88</v>
      </c>
      <c r="F150">
        <v>114</v>
      </c>
      <c r="G150">
        <v>-1</v>
      </c>
      <c r="H150">
        <v>12</v>
      </c>
      <c r="I150">
        <v>1360449</v>
      </c>
      <c r="J15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1" spans="1:10" x14ac:dyDescent="0.25">
      <c r="A151">
        <v>150</v>
      </c>
      <c r="B151" t="s">
        <v>1044</v>
      </c>
      <c r="C151" t="s">
        <v>1045</v>
      </c>
      <c r="D151" t="s">
        <v>1046</v>
      </c>
      <c r="E151" t="s">
        <v>88</v>
      </c>
      <c r="F151">
        <v>150</v>
      </c>
      <c r="G151">
        <v>153</v>
      </c>
      <c r="H151">
        <v>4</v>
      </c>
      <c r="I151">
        <v>1354846</v>
      </c>
      <c r="J15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52" spans="1:10" x14ac:dyDescent="0.25">
      <c r="A152">
        <v>151</v>
      </c>
      <c r="B152" t="s">
        <v>294</v>
      </c>
      <c r="C152" t="s">
        <v>295</v>
      </c>
      <c r="D152" t="s">
        <v>296</v>
      </c>
      <c r="E152" t="s">
        <v>24</v>
      </c>
      <c r="F152">
        <v>41</v>
      </c>
      <c r="G152">
        <v>78</v>
      </c>
      <c r="H152">
        <v>12</v>
      </c>
      <c r="I152">
        <v>1353582</v>
      </c>
      <c r="J15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3" spans="1:10" x14ac:dyDescent="0.25">
      <c r="A153">
        <v>152</v>
      </c>
      <c r="B153" t="s">
        <v>473</v>
      </c>
      <c r="C153" t="s">
        <v>33</v>
      </c>
      <c r="D153" t="s">
        <v>474</v>
      </c>
      <c r="E153" t="s">
        <v>12</v>
      </c>
      <c r="F153">
        <v>95</v>
      </c>
      <c r="G153">
        <v>95</v>
      </c>
      <c r="H153">
        <v>7</v>
      </c>
      <c r="I153">
        <v>1341508</v>
      </c>
      <c r="J15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4" spans="1:10" x14ac:dyDescent="0.25">
      <c r="A154">
        <v>153</v>
      </c>
      <c r="B154" t="s">
        <v>398</v>
      </c>
      <c r="C154" t="s">
        <v>399</v>
      </c>
      <c r="D154" t="s">
        <v>400</v>
      </c>
      <c r="E154" t="s">
        <v>228</v>
      </c>
      <c r="F154">
        <v>33</v>
      </c>
      <c r="G154">
        <v>162</v>
      </c>
      <c r="H154">
        <v>26</v>
      </c>
      <c r="I154">
        <v>1337685</v>
      </c>
      <c r="J15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5" spans="1:10" x14ac:dyDescent="0.25">
      <c r="A155">
        <v>154</v>
      </c>
      <c r="B155" t="s">
        <v>463</v>
      </c>
      <c r="C155" t="s">
        <v>152</v>
      </c>
      <c r="D155" t="s">
        <v>464</v>
      </c>
      <c r="E155" t="s">
        <v>12</v>
      </c>
      <c r="F155">
        <v>81</v>
      </c>
      <c r="G155">
        <v>152</v>
      </c>
      <c r="H155">
        <v>46</v>
      </c>
      <c r="I155">
        <v>1336268</v>
      </c>
      <c r="J15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6" spans="1:10" x14ac:dyDescent="0.25">
      <c r="A156">
        <v>155</v>
      </c>
      <c r="B156" t="s">
        <v>4498</v>
      </c>
      <c r="C156" t="s">
        <v>4488</v>
      </c>
      <c r="D156" t="s">
        <v>4417</v>
      </c>
      <c r="E156" t="s">
        <v>88</v>
      </c>
      <c r="F156">
        <v>155</v>
      </c>
      <c r="G156">
        <v>-1</v>
      </c>
      <c r="H156">
        <v>1</v>
      </c>
      <c r="I156">
        <v>1332782</v>
      </c>
      <c r="J15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57" spans="1:10" x14ac:dyDescent="0.25">
      <c r="A157">
        <v>156</v>
      </c>
      <c r="B157" t="s">
        <v>4305</v>
      </c>
      <c r="C157" t="s">
        <v>496</v>
      </c>
      <c r="D157" t="s">
        <v>4241</v>
      </c>
      <c r="E157" t="s">
        <v>1133</v>
      </c>
      <c r="F157">
        <v>156</v>
      </c>
      <c r="G157">
        <v>-1</v>
      </c>
      <c r="H157">
        <v>1</v>
      </c>
      <c r="I157">
        <v>1329214</v>
      </c>
      <c r="J15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58" spans="1:10" x14ac:dyDescent="0.25">
      <c r="A158">
        <v>157</v>
      </c>
      <c r="B158" t="s">
        <v>1104</v>
      </c>
      <c r="C158" t="s">
        <v>1105</v>
      </c>
      <c r="D158" t="s">
        <v>1106</v>
      </c>
      <c r="E158" t="s">
        <v>303</v>
      </c>
      <c r="F158">
        <v>7</v>
      </c>
      <c r="G158">
        <v>168</v>
      </c>
      <c r="H158">
        <v>59</v>
      </c>
      <c r="I158">
        <v>1327678</v>
      </c>
      <c r="J15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9" spans="1:10" x14ac:dyDescent="0.25">
      <c r="A159">
        <v>158</v>
      </c>
      <c r="B159" t="s">
        <v>404</v>
      </c>
      <c r="C159" t="s">
        <v>405</v>
      </c>
      <c r="D159" t="s">
        <v>406</v>
      </c>
      <c r="E159" t="s">
        <v>407</v>
      </c>
      <c r="F159">
        <v>107</v>
      </c>
      <c r="G159">
        <v>138</v>
      </c>
      <c r="H159">
        <v>6</v>
      </c>
      <c r="I159">
        <v>1327315</v>
      </c>
      <c r="J15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0" spans="1:10" x14ac:dyDescent="0.25">
      <c r="A160">
        <v>159</v>
      </c>
      <c r="B160" t="s">
        <v>444</v>
      </c>
      <c r="C160" t="s">
        <v>46</v>
      </c>
      <c r="D160" t="s">
        <v>445</v>
      </c>
      <c r="E160" t="s">
        <v>12</v>
      </c>
      <c r="F160">
        <v>62</v>
      </c>
      <c r="G160">
        <v>134</v>
      </c>
      <c r="H160">
        <v>44</v>
      </c>
      <c r="I160">
        <v>1325250</v>
      </c>
      <c r="J16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1" spans="1:10" x14ac:dyDescent="0.25">
      <c r="A161">
        <v>160</v>
      </c>
      <c r="B161" t="s">
        <v>342</v>
      </c>
      <c r="C161" t="s">
        <v>343</v>
      </c>
      <c r="D161" t="s">
        <v>344</v>
      </c>
      <c r="E161" t="s">
        <v>345</v>
      </c>
      <c r="F161">
        <v>21</v>
      </c>
      <c r="G161">
        <v>130</v>
      </c>
      <c r="H161">
        <v>35</v>
      </c>
      <c r="I161">
        <v>1315534</v>
      </c>
      <c r="J16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2" spans="1:10" x14ac:dyDescent="0.25">
      <c r="A162">
        <v>161</v>
      </c>
      <c r="B162" t="s">
        <v>489</v>
      </c>
      <c r="C162" t="s">
        <v>152</v>
      </c>
      <c r="D162" t="s">
        <v>490</v>
      </c>
      <c r="E162" t="s">
        <v>12</v>
      </c>
      <c r="F162">
        <v>98</v>
      </c>
      <c r="G162">
        <v>142</v>
      </c>
      <c r="H162">
        <v>25</v>
      </c>
      <c r="I162">
        <v>1313105</v>
      </c>
      <c r="J16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3" spans="1:10" x14ac:dyDescent="0.25">
      <c r="A163">
        <v>162</v>
      </c>
      <c r="B163" t="s">
        <v>2413</v>
      </c>
      <c r="C163" t="s">
        <v>129</v>
      </c>
      <c r="D163" t="s">
        <v>2414</v>
      </c>
      <c r="E163" t="s">
        <v>131</v>
      </c>
      <c r="F163">
        <v>125</v>
      </c>
      <c r="G163">
        <v>165</v>
      </c>
      <c r="H163">
        <v>31</v>
      </c>
      <c r="I163">
        <v>1312583</v>
      </c>
      <c r="J16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4" spans="1:10" x14ac:dyDescent="0.25">
      <c r="A164">
        <v>163</v>
      </c>
      <c r="B164" t="s">
        <v>4391</v>
      </c>
      <c r="C164" t="s">
        <v>396</v>
      </c>
      <c r="D164" t="s">
        <v>397</v>
      </c>
      <c r="E164" t="s">
        <v>283</v>
      </c>
      <c r="F164">
        <v>134</v>
      </c>
      <c r="G164">
        <v>175</v>
      </c>
      <c r="H164">
        <v>6</v>
      </c>
      <c r="I164">
        <v>1309775</v>
      </c>
      <c r="J16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5" spans="1:10" x14ac:dyDescent="0.25">
      <c r="A165">
        <v>164</v>
      </c>
      <c r="B165" t="s">
        <v>374</v>
      </c>
      <c r="C165" t="s">
        <v>43</v>
      </c>
      <c r="D165" t="s">
        <v>375</v>
      </c>
      <c r="E165" t="s">
        <v>31</v>
      </c>
      <c r="F165">
        <v>22</v>
      </c>
      <c r="G165">
        <v>147</v>
      </c>
      <c r="H165">
        <v>149</v>
      </c>
      <c r="I165">
        <v>1302632</v>
      </c>
      <c r="J16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6" spans="1:10" x14ac:dyDescent="0.25">
      <c r="A166">
        <v>165</v>
      </c>
      <c r="B166" t="s">
        <v>451</v>
      </c>
      <c r="C166" t="s">
        <v>452</v>
      </c>
      <c r="D166" t="s">
        <v>453</v>
      </c>
      <c r="E166" t="s">
        <v>228</v>
      </c>
      <c r="F166">
        <v>119</v>
      </c>
      <c r="G166">
        <v>173</v>
      </c>
      <c r="H166">
        <v>39</v>
      </c>
      <c r="I166">
        <v>1296990</v>
      </c>
      <c r="J16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7" spans="1:10" x14ac:dyDescent="0.25">
      <c r="A167">
        <v>166</v>
      </c>
      <c r="B167" t="s">
        <v>4375</v>
      </c>
      <c r="C167" t="s">
        <v>159</v>
      </c>
      <c r="D167" t="s">
        <v>4376</v>
      </c>
      <c r="E167" t="s">
        <v>138</v>
      </c>
      <c r="F167">
        <v>166</v>
      </c>
      <c r="G167">
        <v>-1</v>
      </c>
      <c r="H167">
        <v>1</v>
      </c>
      <c r="I167">
        <v>1292805</v>
      </c>
      <c r="J16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68" spans="1:10" x14ac:dyDescent="0.25">
      <c r="A168">
        <v>167</v>
      </c>
      <c r="B168" t="s">
        <v>350</v>
      </c>
      <c r="C168" t="s">
        <v>351</v>
      </c>
      <c r="D168" t="s">
        <v>352</v>
      </c>
      <c r="E168" t="s">
        <v>353</v>
      </c>
      <c r="F168">
        <v>83</v>
      </c>
      <c r="G168">
        <v>164</v>
      </c>
      <c r="H168">
        <v>44</v>
      </c>
      <c r="I168">
        <v>1291821</v>
      </c>
      <c r="J16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9" spans="1:10" x14ac:dyDescent="0.25">
      <c r="A169">
        <v>168</v>
      </c>
      <c r="B169" t="s">
        <v>1081</v>
      </c>
      <c r="C169" t="s">
        <v>578</v>
      </c>
      <c r="D169" t="s">
        <v>1082</v>
      </c>
      <c r="E169" t="s">
        <v>12</v>
      </c>
      <c r="F169">
        <v>100</v>
      </c>
      <c r="G169">
        <v>169</v>
      </c>
      <c r="H169">
        <v>8</v>
      </c>
      <c r="I169">
        <v>1291298</v>
      </c>
      <c r="J16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0" spans="1:10" x14ac:dyDescent="0.25">
      <c r="A170">
        <v>169</v>
      </c>
      <c r="B170" t="s">
        <v>4310</v>
      </c>
      <c r="C170" t="s">
        <v>4311</v>
      </c>
      <c r="D170" t="s">
        <v>4312</v>
      </c>
      <c r="E170" t="s">
        <v>12</v>
      </c>
      <c r="F170">
        <v>169</v>
      </c>
      <c r="G170">
        <v>-1</v>
      </c>
      <c r="H170">
        <v>2</v>
      </c>
      <c r="I170">
        <v>1290587</v>
      </c>
      <c r="J17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71" spans="1:10" x14ac:dyDescent="0.25">
      <c r="A171">
        <v>170</v>
      </c>
      <c r="B171" t="s">
        <v>377</v>
      </c>
      <c r="C171" t="s">
        <v>378</v>
      </c>
      <c r="D171" t="s">
        <v>379</v>
      </c>
      <c r="E171" t="s">
        <v>263</v>
      </c>
      <c r="F171">
        <v>101</v>
      </c>
      <c r="G171">
        <v>135</v>
      </c>
      <c r="H171">
        <v>23</v>
      </c>
      <c r="I171">
        <v>1284001</v>
      </c>
      <c r="J17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2" spans="1:10" x14ac:dyDescent="0.25">
      <c r="A172">
        <v>171</v>
      </c>
      <c r="B172" t="s">
        <v>471</v>
      </c>
      <c r="C172" t="s">
        <v>148</v>
      </c>
      <c r="D172" t="s">
        <v>472</v>
      </c>
      <c r="E172" t="s">
        <v>24</v>
      </c>
      <c r="F172">
        <v>2</v>
      </c>
      <c r="G172">
        <v>161</v>
      </c>
      <c r="H172">
        <v>102</v>
      </c>
      <c r="I172">
        <v>1279557</v>
      </c>
      <c r="J17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3" spans="1:10" x14ac:dyDescent="0.25">
      <c r="A173">
        <v>172</v>
      </c>
      <c r="B173" t="s">
        <v>360</v>
      </c>
      <c r="C173" t="s">
        <v>247</v>
      </c>
      <c r="D173" t="s">
        <v>361</v>
      </c>
      <c r="E173" t="s">
        <v>12</v>
      </c>
      <c r="F173">
        <v>13</v>
      </c>
      <c r="G173">
        <v>156</v>
      </c>
      <c r="H173">
        <v>48</v>
      </c>
      <c r="I173">
        <v>1279458</v>
      </c>
      <c r="J17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4" spans="1:10" x14ac:dyDescent="0.25">
      <c r="A174">
        <v>173</v>
      </c>
      <c r="B174" t="s">
        <v>2410</v>
      </c>
      <c r="C174" t="s">
        <v>2411</v>
      </c>
      <c r="D174" t="s">
        <v>2412</v>
      </c>
      <c r="E174" t="s">
        <v>228</v>
      </c>
      <c r="F174">
        <v>36</v>
      </c>
      <c r="G174">
        <v>186</v>
      </c>
      <c r="H174">
        <v>105</v>
      </c>
      <c r="I174">
        <v>1276574</v>
      </c>
      <c r="J17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5" spans="1:10" x14ac:dyDescent="0.25">
      <c r="A175">
        <v>174</v>
      </c>
      <c r="B175" t="s">
        <v>418</v>
      </c>
      <c r="C175" t="s">
        <v>419</v>
      </c>
      <c r="D175" t="s">
        <v>420</v>
      </c>
      <c r="E175" t="s">
        <v>24</v>
      </c>
      <c r="F175">
        <v>108</v>
      </c>
      <c r="G175">
        <v>167</v>
      </c>
      <c r="H175">
        <v>61</v>
      </c>
      <c r="I175">
        <v>1272999</v>
      </c>
      <c r="J17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6" spans="1:10" x14ac:dyDescent="0.25">
      <c r="A176">
        <v>175</v>
      </c>
      <c r="B176" t="s">
        <v>454</v>
      </c>
      <c r="C176" t="s">
        <v>148</v>
      </c>
      <c r="D176" t="s">
        <v>455</v>
      </c>
      <c r="E176" t="s">
        <v>150</v>
      </c>
      <c r="F176">
        <v>1</v>
      </c>
      <c r="G176">
        <v>159</v>
      </c>
      <c r="H176">
        <v>52</v>
      </c>
      <c r="I176">
        <v>1269878</v>
      </c>
      <c r="J17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7" spans="1:10" x14ac:dyDescent="0.25">
      <c r="A177">
        <v>176</v>
      </c>
      <c r="B177" t="s">
        <v>449</v>
      </c>
      <c r="C177" t="s">
        <v>43</v>
      </c>
      <c r="D177" t="s">
        <v>450</v>
      </c>
      <c r="E177" t="s">
        <v>31</v>
      </c>
      <c r="F177">
        <v>3</v>
      </c>
      <c r="G177">
        <v>103</v>
      </c>
      <c r="H177">
        <v>108</v>
      </c>
      <c r="I177">
        <v>1265282</v>
      </c>
      <c r="J17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8" spans="1:10" x14ac:dyDescent="0.25">
      <c r="A178">
        <v>177</v>
      </c>
      <c r="B178" t="s">
        <v>467</v>
      </c>
      <c r="C178" t="s">
        <v>468</v>
      </c>
      <c r="D178" t="s">
        <v>469</v>
      </c>
      <c r="E178" t="s">
        <v>470</v>
      </c>
      <c r="F178">
        <v>171</v>
      </c>
      <c r="G178">
        <v>171</v>
      </c>
      <c r="H178">
        <v>2</v>
      </c>
      <c r="I178">
        <v>1263425</v>
      </c>
      <c r="J17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9" spans="1:10" x14ac:dyDescent="0.25">
      <c r="A179">
        <v>178</v>
      </c>
      <c r="B179" t="s">
        <v>4303</v>
      </c>
      <c r="C179" t="s">
        <v>496</v>
      </c>
      <c r="D179" t="s">
        <v>4237</v>
      </c>
      <c r="E179" t="s">
        <v>1133</v>
      </c>
      <c r="F179">
        <v>178</v>
      </c>
      <c r="G179">
        <v>-1</v>
      </c>
      <c r="H179">
        <v>1</v>
      </c>
      <c r="I179">
        <v>1263033</v>
      </c>
      <c r="J17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80" spans="1:10" x14ac:dyDescent="0.25">
      <c r="A180">
        <v>179</v>
      </c>
      <c r="B180" t="s">
        <v>315</v>
      </c>
      <c r="C180" t="s">
        <v>316</v>
      </c>
      <c r="D180" t="s">
        <v>317</v>
      </c>
      <c r="E180" t="s">
        <v>88</v>
      </c>
      <c r="F180">
        <v>65</v>
      </c>
      <c r="G180">
        <v>86</v>
      </c>
      <c r="H180">
        <v>51</v>
      </c>
      <c r="I180">
        <v>1262584</v>
      </c>
      <c r="J18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1" spans="1:10" x14ac:dyDescent="0.25">
      <c r="A181">
        <v>180</v>
      </c>
      <c r="B181" t="s">
        <v>331</v>
      </c>
      <c r="C181" t="s">
        <v>332</v>
      </c>
      <c r="D181" t="s">
        <v>333</v>
      </c>
      <c r="E181" t="s">
        <v>12</v>
      </c>
      <c r="F181">
        <v>73</v>
      </c>
      <c r="G181">
        <v>118</v>
      </c>
      <c r="H181">
        <v>5</v>
      </c>
      <c r="I181">
        <v>1259720</v>
      </c>
      <c r="J18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45876</v>
      </c>
    </row>
    <row r="182" spans="1:10" x14ac:dyDescent="0.25">
      <c r="A182">
        <v>181</v>
      </c>
      <c r="B182" t="s">
        <v>493</v>
      </c>
      <c r="C182" t="s">
        <v>69</v>
      </c>
      <c r="D182" t="s">
        <v>494</v>
      </c>
      <c r="E182" t="s">
        <v>67</v>
      </c>
      <c r="F182">
        <v>3</v>
      </c>
      <c r="G182">
        <v>148</v>
      </c>
      <c r="H182">
        <v>125</v>
      </c>
      <c r="I182">
        <v>1250309</v>
      </c>
      <c r="J18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3" spans="1:10" x14ac:dyDescent="0.25">
      <c r="A183">
        <v>182</v>
      </c>
      <c r="B183" t="s">
        <v>1068</v>
      </c>
      <c r="C183" t="s">
        <v>524</v>
      </c>
      <c r="D183" t="s">
        <v>525</v>
      </c>
      <c r="E183" t="s">
        <v>12</v>
      </c>
      <c r="F183">
        <v>92</v>
      </c>
      <c r="G183">
        <v>140</v>
      </c>
      <c r="H183">
        <v>29</v>
      </c>
      <c r="I183">
        <v>1249214</v>
      </c>
      <c r="J18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45659</v>
      </c>
    </row>
    <row r="184" spans="1:10" x14ac:dyDescent="0.25">
      <c r="A184">
        <v>183</v>
      </c>
      <c r="B184" t="s">
        <v>428</v>
      </c>
      <c r="C184" t="s">
        <v>429</v>
      </c>
      <c r="D184" t="s">
        <v>430</v>
      </c>
      <c r="E184" t="s">
        <v>131</v>
      </c>
      <c r="F184">
        <v>73</v>
      </c>
      <c r="G184">
        <v>172</v>
      </c>
      <c r="H184">
        <v>47</v>
      </c>
      <c r="I184">
        <v>1246768</v>
      </c>
      <c r="J18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5" spans="1:10" x14ac:dyDescent="0.25">
      <c r="A185">
        <v>184</v>
      </c>
      <c r="B185" t="s">
        <v>1521</v>
      </c>
      <c r="C185" t="s">
        <v>1522</v>
      </c>
      <c r="D185" t="s">
        <v>1523</v>
      </c>
      <c r="E185" t="s">
        <v>1524</v>
      </c>
      <c r="F185">
        <v>110</v>
      </c>
      <c r="G185">
        <v>190</v>
      </c>
      <c r="H185">
        <v>25</v>
      </c>
      <c r="I185">
        <v>1231606</v>
      </c>
      <c r="J18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6" spans="1:10" x14ac:dyDescent="0.25">
      <c r="A186">
        <v>185</v>
      </c>
      <c r="B186" t="s">
        <v>346</v>
      </c>
      <c r="C186" t="s">
        <v>347</v>
      </c>
      <c r="D186" t="s">
        <v>348</v>
      </c>
      <c r="E186" t="s">
        <v>349</v>
      </c>
      <c r="F186">
        <v>123</v>
      </c>
      <c r="G186">
        <v>154</v>
      </c>
      <c r="H186">
        <v>6</v>
      </c>
      <c r="I186">
        <v>1225039</v>
      </c>
      <c r="J18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7" spans="1:10" x14ac:dyDescent="0.25">
      <c r="A187">
        <v>186</v>
      </c>
      <c r="B187" t="s">
        <v>482</v>
      </c>
      <c r="C187" t="s">
        <v>483</v>
      </c>
      <c r="D187" t="s">
        <v>484</v>
      </c>
      <c r="E187" t="s">
        <v>268</v>
      </c>
      <c r="F187">
        <v>171</v>
      </c>
      <c r="G187">
        <v>181</v>
      </c>
      <c r="H187">
        <v>9</v>
      </c>
      <c r="I187">
        <v>1224591</v>
      </c>
      <c r="J18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8" spans="1:10" x14ac:dyDescent="0.25">
      <c r="A188">
        <v>187</v>
      </c>
      <c r="B188" t="s">
        <v>1093</v>
      </c>
      <c r="C188" t="s">
        <v>1094</v>
      </c>
      <c r="D188" t="s">
        <v>1095</v>
      </c>
      <c r="E188" t="s">
        <v>12</v>
      </c>
      <c r="F188">
        <v>3</v>
      </c>
      <c r="G188">
        <v>193</v>
      </c>
      <c r="H188">
        <v>55</v>
      </c>
      <c r="I188">
        <v>1219529</v>
      </c>
      <c r="J18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9" spans="1:10" x14ac:dyDescent="0.25">
      <c r="A189">
        <v>188</v>
      </c>
      <c r="B189" t="s">
        <v>4729</v>
      </c>
      <c r="C189" t="s">
        <v>665</v>
      </c>
      <c r="D189" t="s">
        <v>2825</v>
      </c>
      <c r="E189" t="s">
        <v>12</v>
      </c>
      <c r="F189">
        <v>188</v>
      </c>
      <c r="G189">
        <v>-1</v>
      </c>
      <c r="H189">
        <v>1</v>
      </c>
      <c r="I189">
        <v>1212487</v>
      </c>
      <c r="J18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90" spans="1:10" x14ac:dyDescent="0.25">
      <c r="A190">
        <v>189</v>
      </c>
      <c r="B190" t="s">
        <v>506</v>
      </c>
      <c r="C190" t="s">
        <v>507</v>
      </c>
      <c r="D190" t="s">
        <v>508</v>
      </c>
      <c r="E190" t="s">
        <v>509</v>
      </c>
      <c r="F190">
        <v>18</v>
      </c>
      <c r="G190">
        <v>158</v>
      </c>
      <c r="H190">
        <v>65</v>
      </c>
      <c r="I190">
        <v>1203743</v>
      </c>
      <c r="J19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1" spans="1:10" x14ac:dyDescent="0.25">
      <c r="A191">
        <v>190</v>
      </c>
      <c r="B191" t="s">
        <v>512</v>
      </c>
      <c r="C191" t="s">
        <v>513</v>
      </c>
      <c r="D191" t="s">
        <v>514</v>
      </c>
      <c r="E191" t="s">
        <v>24</v>
      </c>
      <c r="F191">
        <v>80</v>
      </c>
      <c r="G191">
        <v>141</v>
      </c>
      <c r="H191">
        <v>28</v>
      </c>
      <c r="I191">
        <v>1197969</v>
      </c>
      <c r="J19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2" spans="1:10" x14ac:dyDescent="0.25">
      <c r="A192">
        <v>191</v>
      </c>
      <c r="B192" t="s">
        <v>1066</v>
      </c>
      <c r="C192" t="s">
        <v>33</v>
      </c>
      <c r="D192" t="s">
        <v>1067</v>
      </c>
      <c r="E192" t="s">
        <v>12</v>
      </c>
      <c r="F192">
        <v>125</v>
      </c>
      <c r="G192">
        <v>125</v>
      </c>
      <c r="H192">
        <v>2</v>
      </c>
      <c r="I192">
        <v>1193574</v>
      </c>
      <c r="J19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3" spans="1:10" x14ac:dyDescent="0.25">
      <c r="A193">
        <v>192</v>
      </c>
      <c r="B193" t="s">
        <v>438</v>
      </c>
      <c r="C193" t="s">
        <v>439</v>
      </c>
      <c r="D193" t="s">
        <v>440</v>
      </c>
      <c r="E193" t="s">
        <v>203</v>
      </c>
      <c r="F193">
        <v>3</v>
      </c>
      <c r="G193">
        <v>163</v>
      </c>
      <c r="H193">
        <v>28</v>
      </c>
      <c r="I193">
        <v>1190176</v>
      </c>
      <c r="J19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4" spans="1:10" x14ac:dyDescent="0.25">
      <c r="A194">
        <v>193</v>
      </c>
      <c r="B194" t="s">
        <v>3816</v>
      </c>
      <c r="C194" t="s">
        <v>3817</v>
      </c>
      <c r="D194" t="s">
        <v>522</v>
      </c>
      <c r="E194" t="s">
        <v>523</v>
      </c>
      <c r="F194">
        <v>8</v>
      </c>
      <c r="G194">
        <v>150</v>
      </c>
      <c r="H194">
        <v>44</v>
      </c>
      <c r="I194">
        <v>1189639</v>
      </c>
      <c r="J19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5" spans="1:10" x14ac:dyDescent="0.25">
      <c r="A195">
        <v>194</v>
      </c>
      <c r="B195" t="s">
        <v>2418</v>
      </c>
      <c r="C195" t="s">
        <v>281</v>
      </c>
      <c r="D195" t="s">
        <v>2419</v>
      </c>
      <c r="E195" t="s">
        <v>283</v>
      </c>
      <c r="F195">
        <v>148</v>
      </c>
      <c r="G195">
        <v>184</v>
      </c>
      <c r="H195">
        <v>24</v>
      </c>
      <c r="I195">
        <v>1187306</v>
      </c>
      <c r="J19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6" spans="1:10" x14ac:dyDescent="0.25">
      <c r="A196">
        <v>195</v>
      </c>
      <c r="B196" t="s">
        <v>1162</v>
      </c>
      <c r="C196" t="s">
        <v>511</v>
      </c>
      <c r="D196" t="s">
        <v>1163</v>
      </c>
      <c r="E196" t="s">
        <v>1164</v>
      </c>
      <c r="F196">
        <v>50</v>
      </c>
      <c r="G196">
        <v>198</v>
      </c>
      <c r="H196">
        <v>32</v>
      </c>
      <c r="I196">
        <v>1182792</v>
      </c>
      <c r="J19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7" spans="1:10" x14ac:dyDescent="0.25">
      <c r="A197">
        <v>196</v>
      </c>
      <c r="B197" t="s">
        <v>421</v>
      </c>
      <c r="C197" t="s">
        <v>422</v>
      </c>
      <c r="D197" t="s">
        <v>423</v>
      </c>
      <c r="E197" t="s">
        <v>117</v>
      </c>
      <c r="F197">
        <v>31</v>
      </c>
      <c r="G197">
        <v>160</v>
      </c>
      <c r="H197">
        <v>26</v>
      </c>
      <c r="I197">
        <v>1182591</v>
      </c>
      <c r="J19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8" spans="1:10" x14ac:dyDescent="0.25">
      <c r="A198">
        <v>197</v>
      </c>
      <c r="B198" t="s">
        <v>2415</v>
      </c>
      <c r="C198" t="s">
        <v>2416</v>
      </c>
      <c r="D198" t="s">
        <v>2417</v>
      </c>
      <c r="E198" t="s">
        <v>263</v>
      </c>
      <c r="F198">
        <v>172</v>
      </c>
      <c r="G198">
        <v>180</v>
      </c>
      <c r="H198">
        <v>9</v>
      </c>
      <c r="I198">
        <v>1181945</v>
      </c>
      <c r="J19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9" spans="1:10" x14ac:dyDescent="0.25">
      <c r="A199">
        <v>198</v>
      </c>
      <c r="B199" t="s">
        <v>1437</v>
      </c>
      <c r="C199" t="s">
        <v>1438</v>
      </c>
      <c r="D199" t="s">
        <v>1439</v>
      </c>
      <c r="E199" t="s">
        <v>1164</v>
      </c>
      <c r="F199">
        <v>198</v>
      </c>
      <c r="G199">
        <v>-1</v>
      </c>
      <c r="H199">
        <v>1</v>
      </c>
      <c r="I199">
        <v>1179636</v>
      </c>
      <c r="J19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200" spans="1:10" x14ac:dyDescent="0.25">
      <c r="A200">
        <v>199</v>
      </c>
      <c r="B200" t="s">
        <v>933</v>
      </c>
      <c r="C200" t="s">
        <v>934</v>
      </c>
      <c r="D200" t="s">
        <v>935</v>
      </c>
      <c r="E200" t="s">
        <v>936</v>
      </c>
      <c r="F200">
        <v>199</v>
      </c>
      <c r="G200">
        <v>-1</v>
      </c>
      <c r="H200">
        <v>1</v>
      </c>
      <c r="I200">
        <v>1174504</v>
      </c>
      <c r="J20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201" spans="1:10" x14ac:dyDescent="0.25">
      <c r="A201">
        <v>200</v>
      </c>
      <c r="B201" t="s">
        <v>491</v>
      </c>
      <c r="C201" t="s">
        <v>46</v>
      </c>
      <c r="D201" t="s">
        <v>492</v>
      </c>
      <c r="E201" t="s">
        <v>12</v>
      </c>
      <c r="F201">
        <v>1</v>
      </c>
      <c r="G201">
        <v>177</v>
      </c>
      <c r="H201">
        <v>95</v>
      </c>
      <c r="I201">
        <v>1171183</v>
      </c>
      <c r="J20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F530D-BF1A-442B-8A1D-A2948C7F037E}">
  <sheetPr codeName="Planilha13"/>
  <dimension ref="A1:F201"/>
  <sheetViews>
    <sheetView showGridLines="0" zoomScale="90" zoomScaleNormal="90" workbookViewId="0">
      <selection activeCell="C7" sqref="C7"/>
    </sheetView>
  </sheetViews>
  <sheetFormatPr defaultRowHeight="15" x14ac:dyDescent="0.25"/>
  <cols>
    <col min="1" max="1" width="7.42578125" bestFit="1" customWidth="1"/>
    <col min="2" max="2" width="41" bestFit="1" customWidth="1"/>
    <col min="3" max="3" width="25" bestFit="1" customWidth="1"/>
    <col min="4" max="4" width="12.5703125" bestFit="1" customWidth="1"/>
    <col min="5" max="5" width="16" bestFit="1" customWidth="1"/>
    <col min="6" max="6" width="17.8554687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1956</v>
      </c>
    </row>
    <row r="2" spans="1:6" x14ac:dyDescent="0.25">
      <c r="A2">
        <v>1</v>
      </c>
      <c r="B2" t="s">
        <v>529</v>
      </c>
      <c r="C2" t="s">
        <v>43</v>
      </c>
      <c r="D2">
        <v>1</v>
      </c>
      <c r="E2">
        <v>1</v>
      </c>
      <c r="F2">
        <v>203</v>
      </c>
    </row>
    <row r="3" spans="1:6" x14ac:dyDescent="0.25">
      <c r="A3">
        <v>2</v>
      </c>
      <c r="B3" t="s">
        <v>530</v>
      </c>
      <c r="C3" t="s">
        <v>33</v>
      </c>
      <c r="D3">
        <v>2</v>
      </c>
      <c r="E3">
        <v>2</v>
      </c>
      <c r="F3">
        <v>203</v>
      </c>
    </row>
    <row r="4" spans="1:6" x14ac:dyDescent="0.25">
      <c r="A4">
        <v>3</v>
      </c>
      <c r="B4" t="s">
        <v>531</v>
      </c>
      <c r="C4" t="s">
        <v>46</v>
      </c>
      <c r="D4">
        <v>3</v>
      </c>
      <c r="E4">
        <v>3</v>
      </c>
      <c r="F4">
        <v>203</v>
      </c>
    </row>
    <row r="5" spans="1:6" x14ac:dyDescent="0.25">
      <c r="A5">
        <v>4</v>
      </c>
      <c r="B5" t="s">
        <v>536</v>
      </c>
      <c r="C5" t="s">
        <v>152</v>
      </c>
      <c r="D5">
        <v>1</v>
      </c>
      <c r="E5">
        <v>5</v>
      </c>
      <c r="F5">
        <v>203</v>
      </c>
    </row>
    <row r="6" spans="1:6" x14ac:dyDescent="0.25">
      <c r="A6">
        <v>5</v>
      </c>
      <c r="B6" t="s">
        <v>532</v>
      </c>
      <c r="C6" t="s">
        <v>533</v>
      </c>
      <c r="D6">
        <v>1</v>
      </c>
      <c r="E6">
        <v>4</v>
      </c>
      <c r="F6">
        <v>203</v>
      </c>
    </row>
    <row r="7" spans="1:6" x14ac:dyDescent="0.25">
      <c r="A7">
        <v>6</v>
      </c>
      <c r="B7" t="s">
        <v>534</v>
      </c>
      <c r="C7" t="s">
        <v>535</v>
      </c>
      <c r="D7">
        <v>2</v>
      </c>
      <c r="E7">
        <v>6</v>
      </c>
      <c r="F7">
        <v>203</v>
      </c>
    </row>
    <row r="8" spans="1:6" x14ac:dyDescent="0.25">
      <c r="A8">
        <v>7</v>
      </c>
      <c r="B8" t="s">
        <v>539</v>
      </c>
      <c r="C8" t="s">
        <v>298</v>
      </c>
      <c r="D8">
        <v>6</v>
      </c>
      <c r="E8">
        <v>9</v>
      </c>
      <c r="F8">
        <v>203</v>
      </c>
    </row>
    <row r="9" spans="1:6" x14ac:dyDescent="0.25">
      <c r="A9">
        <v>8</v>
      </c>
      <c r="B9" t="s">
        <v>537</v>
      </c>
      <c r="C9" t="s">
        <v>538</v>
      </c>
      <c r="D9">
        <v>3</v>
      </c>
      <c r="E9">
        <v>7</v>
      </c>
      <c r="F9">
        <v>203</v>
      </c>
    </row>
    <row r="10" spans="1:6" x14ac:dyDescent="0.25">
      <c r="A10">
        <v>9</v>
      </c>
      <c r="B10" t="s">
        <v>540</v>
      </c>
      <c r="C10" t="s">
        <v>69</v>
      </c>
      <c r="D10">
        <v>5</v>
      </c>
      <c r="E10">
        <v>8</v>
      </c>
      <c r="F10">
        <v>134</v>
      </c>
    </row>
    <row r="11" spans="1:6" x14ac:dyDescent="0.25">
      <c r="A11">
        <v>10</v>
      </c>
      <c r="B11" t="s">
        <v>543</v>
      </c>
      <c r="C11" t="s">
        <v>93</v>
      </c>
      <c r="D11">
        <v>2</v>
      </c>
      <c r="E11">
        <v>10</v>
      </c>
      <c r="F11">
        <v>203</v>
      </c>
    </row>
    <row r="12" spans="1:6" x14ac:dyDescent="0.25">
      <c r="A12">
        <v>11</v>
      </c>
      <c r="B12" t="s">
        <v>560</v>
      </c>
      <c r="C12" t="s">
        <v>561</v>
      </c>
      <c r="D12">
        <v>3</v>
      </c>
      <c r="E12">
        <v>13</v>
      </c>
      <c r="F12">
        <v>55</v>
      </c>
    </row>
    <row r="13" spans="1:6" x14ac:dyDescent="0.25">
      <c r="A13">
        <v>12</v>
      </c>
      <c r="B13" t="s">
        <v>564</v>
      </c>
      <c r="C13" t="s">
        <v>170</v>
      </c>
      <c r="D13">
        <v>1</v>
      </c>
      <c r="E13">
        <v>11</v>
      </c>
      <c r="F13">
        <v>172</v>
      </c>
    </row>
    <row r="14" spans="1:6" x14ac:dyDescent="0.25">
      <c r="A14">
        <v>13</v>
      </c>
      <c r="B14" t="s">
        <v>548</v>
      </c>
      <c r="C14" t="s">
        <v>549</v>
      </c>
      <c r="D14">
        <v>12</v>
      </c>
      <c r="E14">
        <v>15</v>
      </c>
      <c r="F14">
        <v>88</v>
      </c>
    </row>
    <row r="15" spans="1:6" x14ac:dyDescent="0.25">
      <c r="A15">
        <v>14</v>
      </c>
      <c r="B15" t="s">
        <v>541</v>
      </c>
      <c r="C15" t="s">
        <v>542</v>
      </c>
      <c r="D15">
        <v>2</v>
      </c>
      <c r="E15">
        <v>12</v>
      </c>
      <c r="F15">
        <v>146</v>
      </c>
    </row>
    <row r="16" spans="1:6" x14ac:dyDescent="0.25">
      <c r="A16">
        <v>15</v>
      </c>
      <c r="B16" t="s">
        <v>556</v>
      </c>
      <c r="C16" t="s">
        <v>557</v>
      </c>
      <c r="D16">
        <v>13</v>
      </c>
      <c r="E16">
        <v>17</v>
      </c>
      <c r="F16">
        <v>29</v>
      </c>
    </row>
    <row r="17" spans="1:6" x14ac:dyDescent="0.25">
      <c r="A17">
        <v>16</v>
      </c>
      <c r="B17" t="s">
        <v>551</v>
      </c>
      <c r="C17" t="s">
        <v>552</v>
      </c>
      <c r="D17">
        <v>1</v>
      </c>
      <c r="E17">
        <v>14</v>
      </c>
      <c r="F17">
        <v>203</v>
      </c>
    </row>
    <row r="18" spans="1:6" x14ac:dyDescent="0.25">
      <c r="A18">
        <v>17</v>
      </c>
      <c r="B18" t="s">
        <v>546</v>
      </c>
      <c r="C18" t="s">
        <v>547</v>
      </c>
      <c r="D18">
        <v>7</v>
      </c>
      <c r="E18">
        <v>16</v>
      </c>
      <c r="F18">
        <v>203</v>
      </c>
    </row>
    <row r="19" spans="1:6" x14ac:dyDescent="0.25">
      <c r="A19">
        <v>18</v>
      </c>
      <c r="B19" t="s">
        <v>550</v>
      </c>
      <c r="C19" t="s">
        <v>148</v>
      </c>
      <c r="D19">
        <v>1</v>
      </c>
      <c r="E19">
        <v>18</v>
      </c>
      <c r="F19">
        <v>203</v>
      </c>
    </row>
    <row r="20" spans="1:6" x14ac:dyDescent="0.25">
      <c r="A20">
        <v>19</v>
      </c>
      <c r="B20" t="s">
        <v>544</v>
      </c>
      <c r="C20" t="s">
        <v>545</v>
      </c>
      <c r="D20">
        <v>3</v>
      </c>
      <c r="E20">
        <v>20</v>
      </c>
      <c r="F20">
        <v>146</v>
      </c>
    </row>
    <row r="21" spans="1:6" x14ac:dyDescent="0.25">
      <c r="A21">
        <v>20</v>
      </c>
      <c r="B21" t="s">
        <v>555</v>
      </c>
      <c r="C21" t="s">
        <v>133</v>
      </c>
      <c r="D21">
        <v>7</v>
      </c>
      <c r="E21">
        <v>21</v>
      </c>
      <c r="F21">
        <v>203</v>
      </c>
    </row>
    <row r="22" spans="1:6" x14ac:dyDescent="0.25">
      <c r="A22">
        <v>21</v>
      </c>
      <c r="B22" t="s">
        <v>553</v>
      </c>
      <c r="C22" t="s">
        <v>554</v>
      </c>
      <c r="D22">
        <v>7</v>
      </c>
      <c r="E22">
        <v>22</v>
      </c>
      <c r="F22">
        <v>43</v>
      </c>
    </row>
    <row r="23" spans="1:6" x14ac:dyDescent="0.25">
      <c r="A23">
        <v>22</v>
      </c>
      <c r="B23" t="s">
        <v>570</v>
      </c>
      <c r="C23" t="s">
        <v>571</v>
      </c>
      <c r="D23">
        <v>19</v>
      </c>
      <c r="E23">
        <v>25</v>
      </c>
      <c r="F23">
        <v>200</v>
      </c>
    </row>
    <row r="24" spans="1:6" x14ac:dyDescent="0.25">
      <c r="A24">
        <v>23</v>
      </c>
      <c r="B24" t="s">
        <v>558</v>
      </c>
      <c r="C24" t="s">
        <v>22</v>
      </c>
      <c r="D24">
        <v>12</v>
      </c>
      <c r="E24">
        <v>19</v>
      </c>
      <c r="F24">
        <v>203</v>
      </c>
    </row>
    <row r="25" spans="1:6" x14ac:dyDescent="0.25">
      <c r="A25">
        <v>24</v>
      </c>
      <c r="B25" t="s">
        <v>856</v>
      </c>
      <c r="C25" t="s">
        <v>496</v>
      </c>
      <c r="D25">
        <v>24</v>
      </c>
      <c r="E25">
        <v>182</v>
      </c>
      <c r="F25">
        <v>63</v>
      </c>
    </row>
    <row r="26" spans="1:6" x14ac:dyDescent="0.25">
      <c r="A26">
        <v>25</v>
      </c>
      <c r="B26" t="s">
        <v>559</v>
      </c>
      <c r="C26" t="s">
        <v>527</v>
      </c>
      <c r="D26">
        <v>4</v>
      </c>
      <c r="E26">
        <v>23</v>
      </c>
      <c r="F26">
        <v>203</v>
      </c>
    </row>
    <row r="27" spans="1:6" x14ac:dyDescent="0.25">
      <c r="A27">
        <v>26</v>
      </c>
      <c r="B27" t="s">
        <v>568</v>
      </c>
      <c r="C27" t="s">
        <v>569</v>
      </c>
      <c r="D27">
        <v>24</v>
      </c>
      <c r="E27">
        <v>26</v>
      </c>
      <c r="F27">
        <v>64</v>
      </c>
    </row>
    <row r="28" spans="1:6" x14ac:dyDescent="0.25">
      <c r="A28">
        <v>27</v>
      </c>
      <c r="B28" t="s">
        <v>562</v>
      </c>
      <c r="C28" t="s">
        <v>563</v>
      </c>
      <c r="D28">
        <v>2</v>
      </c>
      <c r="E28">
        <v>27</v>
      </c>
      <c r="F28">
        <v>71</v>
      </c>
    </row>
    <row r="29" spans="1:6" x14ac:dyDescent="0.25">
      <c r="A29">
        <v>28</v>
      </c>
      <c r="B29" t="s">
        <v>565</v>
      </c>
      <c r="C29" t="s">
        <v>316</v>
      </c>
      <c r="D29">
        <v>24</v>
      </c>
      <c r="E29">
        <v>24</v>
      </c>
      <c r="F29">
        <v>203</v>
      </c>
    </row>
    <row r="30" spans="1:6" x14ac:dyDescent="0.25">
      <c r="A30">
        <v>29</v>
      </c>
      <c r="B30" t="s">
        <v>577</v>
      </c>
      <c r="C30" t="s">
        <v>578</v>
      </c>
      <c r="D30">
        <v>5</v>
      </c>
      <c r="E30">
        <v>29</v>
      </c>
      <c r="F30">
        <v>203</v>
      </c>
    </row>
    <row r="31" spans="1:6" x14ac:dyDescent="0.25">
      <c r="A31">
        <v>30</v>
      </c>
      <c r="B31" t="s">
        <v>566</v>
      </c>
      <c r="C31" t="s">
        <v>567</v>
      </c>
      <c r="D31">
        <v>7</v>
      </c>
      <c r="E31">
        <v>28</v>
      </c>
      <c r="F31">
        <v>203</v>
      </c>
    </row>
    <row r="32" spans="1:6" x14ac:dyDescent="0.25">
      <c r="A32">
        <v>31</v>
      </c>
      <c r="B32" t="s">
        <v>674</v>
      </c>
      <c r="C32" t="s">
        <v>159</v>
      </c>
      <c r="D32">
        <v>7</v>
      </c>
      <c r="E32">
        <v>46</v>
      </c>
      <c r="F32">
        <v>46</v>
      </c>
    </row>
    <row r="33" spans="1:6" x14ac:dyDescent="0.25">
      <c r="A33">
        <v>32</v>
      </c>
      <c r="B33" t="s">
        <v>583</v>
      </c>
      <c r="C33" t="s">
        <v>584</v>
      </c>
      <c r="D33">
        <v>21</v>
      </c>
      <c r="E33">
        <v>31</v>
      </c>
      <c r="F33">
        <v>203</v>
      </c>
    </row>
    <row r="34" spans="1:6" x14ac:dyDescent="0.25">
      <c r="A34">
        <v>33</v>
      </c>
      <c r="B34" t="s">
        <v>576</v>
      </c>
      <c r="C34" t="s">
        <v>277</v>
      </c>
      <c r="D34">
        <v>27</v>
      </c>
      <c r="E34">
        <v>33</v>
      </c>
      <c r="F34">
        <v>203</v>
      </c>
    </row>
    <row r="35" spans="1:6" x14ac:dyDescent="0.25">
      <c r="A35">
        <v>34</v>
      </c>
      <c r="B35" t="s">
        <v>574</v>
      </c>
      <c r="C35" t="s">
        <v>575</v>
      </c>
      <c r="D35">
        <v>25</v>
      </c>
      <c r="E35">
        <v>34</v>
      </c>
      <c r="F35">
        <v>43</v>
      </c>
    </row>
    <row r="36" spans="1:6" x14ac:dyDescent="0.25">
      <c r="A36">
        <v>35</v>
      </c>
      <c r="B36" t="s">
        <v>592</v>
      </c>
      <c r="C36" t="s">
        <v>593</v>
      </c>
      <c r="D36">
        <v>29</v>
      </c>
      <c r="E36">
        <v>44</v>
      </c>
      <c r="F36">
        <v>129</v>
      </c>
    </row>
    <row r="37" spans="1:6" x14ac:dyDescent="0.25">
      <c r="A37">
        <v>36</v>
      </c>
      <c r="B37" t="s">
        <v>700</v>
      </c>
      <c r="C37" t="s">
        <v>701</v>
      </c>
      <c r="D37">
        <v>10</v>
      </c>
      <c r="E37">
        <v>41</v>
      </c>
      <c r="F37">
        <v>203</v>
      </c>
    </row>
    <row r="38" spans="1:6" x14ac:dyDescent="0.25">
      <c r="A38">
        <v>37</v>
      </c>
      <c r="B38" t="s">
        <v>596</v>
      </c>
      <c r="C38" t="s">
        <v>597</v>
      </c>
      <c r="D38">
        <v>8</v>
      </c>
      <c r="E38">
        <v>37</v>
      </c>
      <c r="F38">
        <v>203</v>
      </c>
    </row>
    <row r="39" spans="1:6" x14ac:dyDescent="0.25">
      <c r="A39">
        <v>38</v>
      </c>
      <c r="B39" t="s">
        <v>572</v>
      </c>
      <c r="C39" t="s">
        <v>573</v>
      </c>
      <c r="D39">
        <v>1</v>
      </c>
      <c r="E39">
        <v>32</v>
      </c>
      <c r="F39">
        <v>203</v>
      </c>
    </row>
    <row r="40" spans="1:6" x14ac:dyDescent="0.25">
      <c r="A40">
        <v>39</v>
      </c>
      <c r="B40" t="s">
        <v>589</v>
      </c>
      <c r="C40" t="s">
        <v>458</v>
      </c>
      <c r="D40">
        <v>5</v>
      </c>
      <c r="E40">
        <v>36</v>
      </c>
      <c r="F40">
        <v>178</v>
      </c>
    </row>
    <row r="41" spans="1:6" x14ac:dyDescent="0.25">
      <c r="A41">
        <v>40</v>
      </c>
      <c r="B41" t="s">
        <v>585</v>
      </c>
      <c r="C41" t="s">
        <v>586</v>
      </c>
      <c r="D41">
        <v>20</v>
      </c>
      <c r="E41">
        <v>39</v>
      </c>
      <c r="F41">
        <v>203</v>
      </c>
    </row>
    <row r="42" spans="1:6" x14ac:dyDescent="0.25">
      <c r="A42">
        <v>41</v>
      </c>
      <c r="B42" t="s">
        <v>606</v>
      </c>
      <c r="C42" t="s">
        <v>607</v>
      </c>
      <c r="D42">
        <v>21</v>
      </c>
      <c r="E42">
        <v>40</v>
      </c>
      <c r="F42">
        <v>203</v>
      </c>
    </row>
    <row r="43" spans="1:6" x14ac:dyDescent="0.25">
      <c r="A43">
        <v>42</v>
      </c>
      <c r="B43" t="s">
        <v>598</v>
      </c>
      <c r="C43" t="s">
        <v>599</v>
      </c>
      <c r="D43">
        <v>4</v>
      </c>
      <c r="E43">
        <v>35</v>
      </c>
      <c r="F43">
        <v>179</v>
      </c>
    </row>
    <row r="44" spans="1:6" x14ac:dyDescent="0.25">
      <c r="A44">
        <v>43</v>
      </c>
      <c r="B44" t="s">
        <v>613</v>
      </c>
      <c r="C44" t="s">
        <v>614</v>
      </c>
      <c r="D44">
        <v>18</v>
      </c>
      <c r="E44">
        <v>30</v>
      </c>
      <c r="F44">
        <v>203</v>
      </c>
    </row>
    <row r="45" spans="1:6" x14ac:dyDescent="0.25">
      <c r="A45">
        <v>44</v>
      </c>
      <c r="B45" t="s">
        <v>587</v>
      </c>
      <c r="C45" t="s">
        <v>588</v>
      </c>
      <c r="D45">
        <v>4</v>
      </c>
      <c r="E45">
        <v>43</v>
      </c>
      <c r="F45">
        <v>203</v>
      </c>
    </row>
    <row r="46" spans="1:6" x14ac:dyDescent="0.25">
      <c r="A46">
        <v>45</v>
      </c>
      <c r="B46" t="s">
        <v>581</v>
      </c>
      <c r="C46" t="s">
        <v>582</v>
      </c>
      <c r="D46">
        <v>7</v>
      </c>
      <c r="E46">
        <v>45</v>
      </c>
      <c r="F46">
        <v>165</v>
      </c>
    </row>
    <row r="47" spans="1:6" x14ac:dyDescent="0.25">
      <c r="A47">
        <v>46</v>
      </c>
      <c r="B47" t="s">
        <v>594</v>
      </c>
      <c r="C47" t="s">
        <v>595</v>
      </c>
      <c r="D47">
        <v>21</v>
      </c>
      <c r="E47">
        <v>48</v>
      </c>
      <c r="F47">
        <v>203</v>
      </c>
    </row>
    <row r="48" spans="1:6" x14ac:dyDescent="0.25">
      <c r="A48">
        <v>47</v>
      </c>
      <c r="B48" t="s">
        <v>579</v>
      </c>
      <c r="C48" t="s">
        <v>580</v>
      </c>
      <c r="D48">
        <v>9</v>
      </c>
      <c r="E48">
        <v>42</v>
      </c>
      <c r="F48">
        <v>159</v>
      </c>
    </row>
    <row r="49" spans="1:6" x14ac:dyDescent="0.25">
      <c r="A49">
        <v>48</v>
      </c>
      <c r="B49" t="s">
        <v>602</v>
      </c>
      <c r="C49" t="s">
        <v>603</v>
      </c>
      <c r="D49">
        <v>8</v>
      </c>
      <c r="E49">
        <v>47</v>
      </c>
      <c r="F49">
        <v>60</v>
      </c>
    </row>
    <row r="50" spans="1:6" x14ac:dyDescent="0.25">
      <c r="A50">
        <v>49</v>
      </c>
      <c r="B50" t="s">
        <v>604</v>
      </c>
      <c r="C50" t="s">
        <v>605</v>
      </c>
      <c r="D50">
        <v>4</v>
      </c>
      <c r="E50">
        <v>38</v>
      </c>
      <c r="F50">
        <v>203</v>
      </c>
    </row>
    <row r="51" spans="1:6" x14ac:dyDescent="0.25">
      <c r="A51">
        <v>50</v>
      </c>
      <c r="B51" t="s">
        <v>600</v>
      </c>
      <c r="C51" t="s">
        <v>601</v>
      </c>
      <c r="D51">
        <v>22</v>
      </c>
      <c r="E51">
        <v>49</v>
      </c>
      <c r="F51">
        <v>152</v>
      </c>
    </row>
    <row r="52" spans="1:6" x14ac:dyDescent="0.25">
      <c r="A52">
        <v>51</v>
      </c>
      <c r="B52" t="s">
        <v>590</v>
      </c>
      <c r="C52" t="s">
        <v>591</v>
      </c>
      <c r="D52">
        <v>2</v>
      </c>
      <c r="E52">
        <v>50</v>
      </c>
      <c r="F52">
        <v>184</v>
      </c>
    </row>
    <row r="53" spans="1:6" x14ac:dyDescent="0.25">
      <c r="A53">
        <v>52</v>
      </c>
      <c r="B53" t="s">
        <v>621</v>
      </c>
      <c r="C53" t="s">
        <v>622</v>
      </c>
      <c r="D53">
        <v>48</v>
      </c>
      <c r="E53">
        <v>51</v>
      </c>
      <c r="F53">
        <v>203</v>
      </c>
    </row>
    <row r="54" spans="1:6" x14ac:dyDescent="0.25">
      <c r="A54">
        <v>53</v>
      </c>
      <c r="B54" t="s">
        <v>608</v>
      </c>
      <c r="C54" t="s">
        <v>609</v>
      </c>
      <c r="D54">
        <v>9</v>
      </c>
      <c r="E54">
        <v>53</v>
      </c>
      <c r="F54">
        <v>179</v>
      </c>
    </row>
    <row r="55" spans="1:6" x14ac:dyDescent="0.25">
      <c r="A55">
        <v>54</v>
      </c>
      <c r="B55" t="s">
        <v>630</v>
      </c>
      <c r="C55" t="s">
        <v>631</v>
      </c>
      <c r="D55">
        <v>41</v>
      </c>
      <c r="E55">
        <v>55</v>
      </c>
      <c r="F55">
        <v>44</v>
      </c>
    </row>
    <row r="56" spans="1:6" x14ac:dyDescent="0.25">
      <c r="A56">
        <v>55</v>
      </c>
      <c r="B56" t="s">
        <v>610</v>
      </c>
      <c r="C56" t="s">
        <v>329</v>
      </c>
      <c r="D56">
        <v>10</v>
      </c>
      <c r="E56">
        <v>56</v>
      </c>
      <c r="F56">
        <v>203</v>
      </c>
    </row>
    <row r="57" spans="1:6" x14ac:dyDescent="0.25">
      <c r="A57">
        <v>56</v>
      </c>
      <c r="B57" t="s">
        <v>629</v>
      </c>
      <c r="C57" t="s">
        <v>29</v>
      </c>
      <c r="D57">
        <v>43</v>
      </c>
      <c r="E57">
        <v>59</v>
      </c>
      <c r="F57">
        <v>94</v>
      </c>
    </row>
    <row r="58" spans="1:6" x14ac:dyDescent="0.25">
      <c r="A58">
        <v>57</v>
      </c>
      <c r="B58" t="s">
        <v>3704</v>
      </c>
      <c r="C58" t="s">
        <v>3702</v>
      </c>
      <c r="D58">
        <v>57</v>
      </c>
      <c r="E58">
        <v>144</v>
      </c>
      <c r="F58">
        <v>28</v>
      </c>
    </row>
    <row r="59" spans="1:6" x14ac:dyDescent="0.25">
      <c r="A59">
        <v>58</v>
      </c>
      <c r="B59" t="s">
        <v>615</v>
      </c>
      <c r="C59" t="s">
        <v>616</v>
      </c>
      <c r="D59">
        <v>16</v>
      </c>
      <c r="E59">
        <v>52</v>
      </c>
      <c r="F59">
        <v>203</v>
      </c>
    </row>
    <row r="60" spans="1:6" x14ac:dyDescent="0.25">
      <c r="A60">
        <v>59</v>
      </c>
      <c r="B60" t="s">
        <v>632</v>
      </c>
      <c r="C60" t="s">
        <v>633</v>
      </c>
      <c r="D60">
        <v>5</v>
      </c>
      <c r="E60">
        <v>54</v>
      </c>
      <c r="F60">
        <v>203</v>
      </c>
    </row>
    <row r="61" spans="1:6" x14ac:dyDescent="0.25">
      <c r="A61">
        <v>60</v>
      </c>
      <c r="B61" t="s">
        <v>627</v>
      </c>
      <c r="C61" t="s">
        <v>628</v>
      </c>
      <c r="D61">
        <v>7</v>
      </c>
      <c r="E61">
        <v>62</v>
      </c>
      <c r="F61">
        <v>203</v>
      </c>
    </row>
    <row r="62" spans="1:6" x14ac:dyDescent="0.25">
      <c r="A62">
        <v>61</v>
      </c>
      <c r="B62" t="s">
        <v>643</v>
      </c>
      <c r="C62" t="s">
        <v>644</v>
      </c>
      <c r="D62">
        <v>53</v>
      </c>
      <c r="E62">
        <v>60</v>
      </c>
      <c r="F62">
        <v>20</v>
      </c>
    </row>
    <row r="63" spans="1:6" x14ac:dyDescent="0.25">
      <c r="A63">
        <v>62</v>
      </c>
      <c r="B63" t="s">
        <v>617</v>
      </c>
      <c r="C63" t="s">
        <v>618</v>
      </c>
      <c r="D63">
        <v>20</v>
      </c>
      <c r="E63">
        <v>57</v>
      </c>
      <c r="F63">
        <v>127</v>
      </c>
    </row>
    <row r="64" spans="1:6" x14ac:dyDescent="0.25">
      <c r="A64">
        <v>63</v>
      </c>
      <c r="B64" t="s">
        <v>623</v>
      </c>
      <c r="C64" t="s">
        <v>624</v>
      </c>
      <c r="D64">
        <v>5</v>
      </c>
      <c r="E64">
        <v>61</v>
      </c>
      <c r="F64">
        <v>126</v>
      </c>
    </row>
    <row r="65" spans="1:6" x14ac:dyDescent="0.25">
      <c r="A65">
        <v>64</v>
      </c>
      <c r="B65" t="s">
        <v>640</v>
      </c>
      <c r="C65" t="s">
        <v>641</v>
      </c>
      <c r="D65">
        <v>2</v>
      </c>
      <c r="E65">
        <v>69</v>
      </c>
      <c r="F65">
        <v>200</v>
      </c>
    </row>
    <row r="66" spans="1:6" x14ac:dyDescent="0.25">
      <c r="A66">
        <v>65</v>
      </c>
      <c r="B66" t="s">
        <v>611</v>
      </c>
      <c r="C66" t="s">
        <v>612</v>
      </c>
      <c r="D66">
        <v>16</v>
      </c>
      <c r="E66">
        <v>58</v>
      </c>
      <c r="F66">
        <v>196</v>
      </c>
    </row>
    <row r="67" spans="1:6" x14ac:dyDescent="0.25">
      <c r="A67">
        <v>66</v>
      </c>
      <c r="B67" t="s">
        <v>638</v>
      </c>
      <c r="C67" t="s">
        <v>639</v>
      </c>
      <c r="D67">
        <v>12</v>
      </c>
      <c r="E67">
        <v>64</v>
      </c>
      <c r="F67">
        <v>203</v>
      </c>
    </row>
    <row r="68" spans="1:6" x14ac:dyDescent="0.25">
      <c r="A68">
        <v>67</v>
      </c>
      <c r="B68" t="s">
        <v>642</v>
      </c>
      <c r="C68" t="s">
        <v>281</v>
      </c>
      <c r="D68">
        <v>61</v>
      </c>
      <c r="E68">
        <v>67</v>
      </c>
      <c r="F68">
        <v>203</v>
      </c>
    </row>
    <row r="69" spans="1:6" x14ac:dyDescent="0.25">
      <c r="A69">
        <v>68</v>
      </c>
      <c r="B69" t="s">
        <v>619</v>
      </c>
      <c r="C69" t="s">
        <v>620</v>
      </c>
      <c r="D69">
        <v>7</v>
      </c>
      <c r="E69">
        <v>66</v>
      </c>
      <c r="F69">
        <v>203</v>
      </c>
    </row>
    <row r="70" spans="1:6" x14ac:dyDescent="0.25">
      <c r="A70">
        <v>69</v>
      </c>
      <c r="B70" t="s">
        <v>653</v>
      </c>
      <c r="C70" t="s">
        <v>654</v>
      </c>
      <c r="D70">
        <v>7</v>
      </c>
      <c r="E70">
        <v>78</v>
      </c>
      <c r="F70">
        <v>203</v>
      </c>
    </row>
    <row r="71" spans="1:6" x14ac:dyDescent="0.25">
      <c r="A71">
        <v>70</v>
      </c>
      <c r="B71" t="s">
        <v>625</v>
      </c>
      <c r="C71" t="s">
        <v>626</v>
      </c>
      <c r="D71">
        <v>1</v>
      </c>
      <c r="E71">
        <v>63</v>
      </c>
      <c r="F71">
        <v>203</v>
      </c>
    </row>
    <row r="72" spans="1:6" x14ac:dyDescent="0.25">
      <c r="A72">
        <v>71</v>
      </c>
      <c r="B72" t="s">
        <v>647</v>
      </c>
      <c r="C72" t="s">
        <v>648</v>
      </c>
      <c r="D72">
        <v>5</v>
      </c>
      <c r="E72">
        <v>71</v>
      </c>
      <c r="F72">
        <v>163</v>
      </c>
    </row>
    <row r="73" spans="1:6" x14ac:dyDescent="0.25">
      <c r="A73">
        <v>72</v>
      </c>
      <c r="B73" t="s">
        <v>645</v>
      </c>
      <c r="C73" t="s">
        <v>646</v>
      </c>
      <c r="D73">
        <v>7</v>
      </c>
      <c r="E73">
        <v>65</v>
      </c>
      <c r="F73">
        <v>203</v>
      </c>
    </row>
    <row r="74" spans="1:6" x14ac:dyDescent="0.25">
      <c r="A74">
        <v>73</v>
      </c>
      <c r="B74" t="s">
        <v>636</v>
      </c>
      <c r="C74" t="s">
        <v>637</v>
      </c>
      <c r="D74">
        <v>3</v>
      </c>
      <c r="E74">
        <v>68</v>
      </c>
      <c r="F74">
        <v>203</v>
      </c>
    </row>
    <row r="75" spans="1:6" x14ac:dyDescent="0.25">
      <c r="A75">
        <v>74</v>
      </c>
      <c r="B75" t="s">
        <v>656</v>
      </c>
      <c r="C75" t="s">
        <v>657</v>
      </c>
      <c r="D75">
        <v>48</v>
      </c>
      <c r="E75">
        <v>70</v>
      </c>
      <c r="F75">
        <v>49</v>
      </c>
    </row>
    <row r="76" spans="1:6" x14ac:dyDescent="0.25">
      <c r="A76">
        <v>75</v>
      </c>
      <c r="B76" t="s">
        <v>651</v>
      </c>
      <c r="C76" t="s">
        <v>652</v>
      </c>
      <c r="D76">
        <v>73</v>
      </c>
      <c r="E76">
        <v>76</v>
      </c>
      <c r="F76">
        <v>200</v>
      </c>
    </row>
    <row r="77" spans="1:6" x14ac:dyDescent="0.25">
      <c r="A77">
        <v>76</v>
      </c>
      <c r="B77" t="s">
        <v>634</v>
      </c>
      <c r="C77" t="s">
        <v>635</v>
      </c>
      <c r="D77">
        <v>9</v>
      </c>
      <c r="E77">
        <v>72</v>
      </c>
      <c r="F77">
        <v>203</v>
      </c>
    </row>
    <row r="78" spans="1:6" x14ac:dyDescent="0.25">
      <c r="A78">
        <v>77</v>
      </c>
      <c r="B78" t="s">
        <v>664</v>
      </c>
      <c r="C78" t="s">
        <v>665</v>
      </c>
      <c r="D78">
        <v>3</v>
      </c>
      <c r="E78">
        <v>75</v>
      </c>
      <c r="F78">
        <v>189</v>
      </c>
    </row>
    <row r="79" spans="1:6" x14ac:dyDescent="0.25">
      <c r="A79">
        <v>78</v>
      </c>
      <c r="B79" t="s">
        <v>668</v>
      </c>
      <c r="C79" t="s">
        <v>669</v>
      </c>
      <c r="D79">
        <v>2</v>
      </c>
      <c r="E79">
        <v>73</v>
      </c>
      <c r="F79">
        <v>203</v>
      </c>
    </row>
    <row r="80" spans="1:6" x14ac:dyDescent="0.25">
      <c r="A80">
        <v>79</v>
      </c>
      <c r="B80" t="s">
        <v>672</v>
      </c>
      <c r="C80" t="s">
        <v>673</v>
      </c>
      <c r="D80">
        <v>29</v>
      </c>
      <c r="E80">
        <v>74</v>
      </c>
      <c r="F80">
        <v>203</v>
      </c>
    </row>
    <row r="81" spans="1:6" x14ac:dyDescent="0.25">
      <c r="A81">
        <v>80</v>
      </c>
      <c r="B81" t="s">
        <v>662</v>
      </c>
      <c r="C81" t="s">
        <v>663</v>
      </c>
      <c r="D81">
        <v>48</v>
      </c>
      <c r="E81">
        <v>77</v>
      </c>
      <c r="F81">
        <v>120</v>
      </c>
    </row>
    <row r="82" spans="1:6" x14ac:dyDescent="0.25">
      <c r="A82">
        <v>81</v>
      </c>
      <c r="B82" t="s">
        <v>660</v>
      </c>
      <c r="C82" t="s">
        <v>661</v>
      </c>
      <c r="D82">
        <v>64</v>
      </c>
      <c r="E82">
        <v>79</v>
      </c>
      <c r="F82">
        <v>15</v>
      </c>
    </row>
    <row r="83" spans="1:6" x14ac:dyDescent="0.25">
      <c r="A83">
        <v>82</v>
      </c>
      <c r="B83" t="s">
        <v>658</v>
      </c>
      <c r="C83" t="s">
        <v>659</v>
      </c>
      <c r="D83">
        <v>24</v>
      </c>
      <c r="E83">
        <v>82</v>
      </c>
      <c r="F83">
        <v>202</v>
      </c>
    </row>
    <row r="84" spans="1:6" x14ac:dyDescent="0.25">
      <c r="A84">
        <v>83</v>
      </c>
      <c r="B84" t="s">
        <v>655</v>
      </c>
      <c r="C84" t="s">
        <v>511</v>
      </c>
      <c r="D84">
        <v>5</v>
      </c>
      <c r="E84">
        <v>81</v>
      </c>
      <c r="F84">
        <v>203</v>
      </c>
    </row>
    <row r="85" spans="1:6" x14ac:dyDescent="0.25">
      <c r="A85">
        <v>84</v>
      </c>
      <c r="B85" t="s">
        <v>681</v>
      </c>
      <c r="C85" t="s">
        <v>415</v>
      </c>
      <c r="D85">
        <v>9</v>
      </c>
      <c r="E85">
        <v>80</v>
      </c>
      <c r="F85">
        <v>203</v>
      </c>
    </row>
    <row r="86" spans="1:6" x14ac:dyDescent="0.25">
      <c r="A86">
        <v>85</v>
      </c>
      <c r="B86" t="s">
        <v>649</v>
      </c>
      <c r="C86" t="s">
        <v>650</v>
      </c>
      <c r="D86">
        <v>46</v>
      </c>
      <c r="E86">
        <v>85</v>
      </c>
      <c r="F86">
        <v>203</v>
      </c>
    </row>
    <row r="87" spans="1:6" x14ac:dyDescent="0.25">
      <c r="A87">
        <v>86</v>
      </c>
      <c r="B87" t="s">
        <v>679</v>
      </c>
      <c r="C87" t="s">
        <v>680</v>
      </c>
      <c r="D87">
        <v>4</v>
      </c>
      <c r="E87">
        <v>88</v>
      </c>
      <c r="F87">
        <v>203</v>
      </c>
    </row>
    <row r="88" spans="1:6" x14ac:dyDescent="0.25">
      <c r="A88">
        <v>87</v>
      </c>
      <c r="B88" t="s">
        <v>666</v>
      </c>
      <c r="C88" t="s">
        <v>667</v>
      </c>
      <c r="D88">
        <v>14</v>
      </c>
      <c r="E88">
        <v>86</v>
      </c>
      <c r="F88">
        <v>203</v>
      </c>
    </row>
    <row r="89" spans="1:6" x14ac:dyDescent="0.25">
      <c r="A89">
        <v>88</v>
      </c>
      <c r="B89" t="s">
        <v>675</v>
      </c>
      <c r="C89" t="s">
        <v>676</v>
      </c>
      <c r="D89">
        <v>7</v>
      </c>
      <c r="E89">
        <v>84</v>
      </c>
      <c r="F89">
        <v>203</v>
      </c>
    </row>
    <row r="90" spans="1:6" x14ac:dyDescent="0.25">
      <c r="A90">
        <v>89</v>
      </c>
      <c r="B90" t="s">
        <v>670</v>
      </c>
      <c r="C90" t="s">
        <v>671</v>
      </c>
      <c r="D90">
        <v>28</v>
      </c>
      <c r="E90">
        <v>87</v>
      </c>
      <c r="F90">
        <v>7</v>
      </c>
    </row>
    <row r="91" spans="1:6" x14ac:dyDescent="0.25">
      <c r="A91">
        <v>90</v>
      </c>
      <c r="B91" t="s">
        <v>692</v>
      </c>
      <c r="C91" t="s">
        <v>693</v>
      </c>
      <c r="D91">
        <v>43</v>
      </c>
      <c r="E91">
        <v>83</v>
      </c>
      <c r="F91">
        <v>203</v>
      </c>
    </row>
    <row r="92" spans="1:6" x14ac:dyDescent="0.25">
      <c r="A92">
        <v>91</v>
      </c>
      <c r="B92" t="s">
        <v>690</v>
      </c>
      <c r="C92" t="s">
        <v>691</v>
      </c>
      <c r="D92">
        <v>5</v>
      </c>
      <c r="E92">
        <v>95</v>
      </c>
      <c r="F92">
        <v>203</v>
      </c>
    </row>
    <row r="93" spans="1:6" x14ac:dyDescent="0.25">
      <c r="A93">
        <v>92</v>
      </c>
      <c r="B93" t="s">
        <v>684</v>
      </c>
      <c r="C93" t="s">
        <v>685</v>
      </c>
      <c r="D93">
        <v>87</v>
      </c>
      <c r="E93">
        <v>92</v>
      </c>
      <c r="F93">
        <v>78</v>
      </c>
    </row>
    <row r="94" spans="1:6" x14ac:dyDescent="0.25">
      <c r="A94">
        <v>93</v>
      </c>
      <c r="B94" t="s">
        <v>704</v>
      </c>
      <c r="C94" t="s">
        <v>705</v>
      </c>
      <c r="D94">
        <v>32</v>
      </c>
      <c r="E94">
        <v>102</v>
      </c>
      <c r="F94">
        <v>57</v>
      </c>
    </row>
    <row r="95" spans="1:6" x14ac:dyDescent="0.25">
      <c r="A95">
        <v>94</v>
      </c>
      <c r="B95" t="s">
        <v>742</v>
      </c>
      <c r="C95" t="s">
        <v>743</v>
      </c>
      <c r="D95">
        <v>90</v>
      </c>
      <c r="E95">
        <v>90</v>
      </c>
      <c r="F95">
        <v>76</v>
      </c>
    </row>
    <row r="96" spans="1:6" x14ac:dyDescent="0.25">
      <c r="A96">
        <v>95</v>
      </c>
      <c r="B96" t="s">
        <v>677</v>
      </c>
      <c r="C96" t="s">
        <v>678</v>
      </c>
      <c r="D96">
        <v>88</v>
      </c>
      <c r="E96">
        <v>91</v>
      </c>
      <c r="F96">
        <v>202</v>
      </c>
    </row>
    <row r="97" spans="1:6" x14ac:dyDescent="0.25">
      <c r="A97">
        <v>96</v>
      </c>
      <c r="B97" t="s">
        <v>694</v>
      </c>
      <c r="C97" t="s">
        <v>695</v>
      </c>
      <c r="D97">
        <v>18</v>
      </c>
      <c r="E97">
        <v>93</v>
      </c>
      <c r="F97">
        <v>203</v>
      </c>
    </row>
    <row r="98" spans="1:6" x14ac:dyDescent="0.25">
      <c r="A98">
        <v>97</v>
      </c>
      <c r="B98" t="s">
        <v>696</v>
      </c>
      <c r="C98" t="s">
        <v>697</v>
      </c>
      <c r="D98">
        <v>7</v>
      </c>
      <c r="E98">
        <v>94</v>
      </c>
      <c r="F98">
        <v>203</v>
      </c>
    </row>
    <row r="99" spans="1:6" x14ac:dyDescent="0.25">
      <c r="A99">
        <v>98</v>
      </c>
      <c r="B99" t="s">
        <v>709</v>
      </c>
      <c r="C99" t="s">
        <v>710</v>
      </c>
      <c r="D99">
        <v>37</v>
      </c>
      <c r="E99">
        <v>104</v>
      </c>
      <c r="F99">
        <v>203</v>
      </c>
    </row>
    <row r="100" spans="1:6" x14ac:dyDescent="0.25">
      <c r="A100">
        <v>99</v>
      </c>
      <c r="B100" t="s">
        <v>722</v>
      </c>
      <c r="C100" t="s">
        <v>723</v>
      </c>
      <c r="D100">
        <v>29</v>
      </c>
      <c r="E100">
        <v>120</v>
      </c>
      <c r="F100">
        <v>203</v>
      </c>
    </row>
    <row r="101" spans="1:6" x14ac:dyDescent="0.25">
      <c r="A101">
        <v>100</v>
      </c>
      <c r="B101" t="s">
        <v>715</v>
      </c>
      <c r="C101" t="s">
        <v>716</v>
      </c>
      <c r="D101">
        <v>100</v>
      </c>
      <c r="E101">
        <v>106</v>
      </c>
      <c r="F101">
        <v>97</v>
      </c>
    </row>
    <row r="102" spans="1:6" x14ac:dyDescent="0.25">
      <c r="A102">
        <v>101</v>
      </c>
      <c r="B102" t="s">
        <v>772</v>
      </c>
      <c r="C102" t="s">
        <v>36</v>
      </c>
      <c r="D102">
        <v>94</v>
      </c>
      <c r="E102">
        <v>113</v>
      </c>
      <c r="F102">
        <v>22</v>
      </c>
    </row>
    <row r="103" spans="1:6" x14ac:dyDescent="0.25">
      <c r="A103">
        <v>102</v>
      </c>
      <c r="B103" t="s">
        <v>749</v>
      </c>
      <c r="C103" t="s">
        <v>750</v>
      </c>
      <c r="D103">
        <v>79</v>
      </c>
      <c r="E103">
        <v>98</v>
      </c>
      <c r="F103">
        <v>199</v>
      </c>
    </row>
    <row r="104" spans="1:6" x14ac:dyDescent="0.25">
      <c r="A104">
        <v>103</v>
      </c>
      <c r="B104" t="s">
        <v>682</v>
      </c>
      <c r="C104" t="s">
        <v>683</v>
      </c>
      <c r="D104">
        <v>8</v>
      </c>
      <c r="E104">
        <v>96</v>
      </c>
      <c r="F104">
        <v>182</v>
      </c>
    </row>
    <row r="105" spans="1:6" x14ac:dyDescent="0.25">
      <c r="A105">
        <v>104</v>
      </c>
      <c r="B105" t="s">
        <v>686</v>
      </c>
      <c r="C105" t="s">
        <v>687</v>
      </c>
      <c r="D105">
        <v>5</v>
      </c>
      <c r="E105">
        <v>107</v>
      </c>
      <c r="F105">
        <v>202</v>
      </c>
    </row>
    <row r="106" spans="1:6" x14ac:dyDescent="0.25">
      <c r="A106">
        <v>105</v>
      </c>
      <c r="B106" t="s">
        <v>706</v>
      </c>
      <c r="C106" t="s">
        <v>707</v>
      </c>
      <c r="D106">
        <v>21</v>
      </c>
      <c r="E106">
        <v>100</v>
      </c>
      <c r="F106">
        <v>78</v>
      </c>
    </row>
    <row r="107" spans="1:6" x14ac:dyDescent="0.25">
      <c r="A107">
        <v>106</v>
      </c>
      <c r="B107" t="s">
        <v>732</v>
      </c>
      <c r="C107" t="s">
        <v>733</v>
      </c>
      <c r="D107">
        <v>14</v>
      </c>
      <c r="E107">
        <v>101</v>
      </c>
      <c r="F107">
        <v>203</v>
      </c>
    </row>
    <row r="108" spans="1:6" x14ac:dyDescent="0.25">
      <c r="A108">
        <v>107</v>
      </c>
      <c r="B108" t="s">
        <v>708</v>
      </c>
      <c r="C108" t="s">
        <v>481</v>
      </c>
      <c r="D108">
        <v>5</v>
      </c>
      <c r="E108">
        <v>112</v>
      </c>
      <c r="F108">
        <v>203</v>
      </c>
    </row>
    <row r="109" spans="1:6" x14ac:dyDescent="0.25">
      <c r="A109">
        <v>108</v>
      </c>
      <c r="B109" t="s">
        <v>698</v>
      </c>
      <c r="C109" t="s">
        <v>699</v>
      </c>
      <c r="D109">
        <v>49</v>
      </c>
      <c r="E109">
        <v>99</v>
      </c>
      <c r="F109">
        <v>203</v>
      </c>
    </row>
    <row r="110" spans="1:6" x14ac:dyDescent="0.25">
      <c r="A110">
        <v>109</v>
      </c>
      <c r="B110" t="s">
        <v>795</v>
      </c>
      <c r="C110" t="s">
        <v>100</v>
      </c>
      <c r="D110">
        <v>56</v>
      </c>
      <c r="E110">
        <v>146</v>
      </c>
      <c r="F110">
        <v>193</v>
      </c>
    </row>
    <row r="111" spans="1:6" x14ac:dyDescent="0.25">
      <c r="A111">
        <v>110</v>
      </c>
      <c r="B111" t="s">
        <v>711</v>
      </c>
      <c r="C111" t="s">
        <v>712</v>
      </c>
      <c r="D111">
        <v>41</v>
      </c>
      <c r="E111">
        <v>108</v>
      </c>
      <c r="F111">
        <v>154</v>
      </c>
    </row>
    <row r="112" spans="1:6" x14ac:dyDescent="0.25">
      <c r="A112">
        <v>111</v>
      </c>
      <c r="B112" t="s">
        <v>768</v>
      </c>
      <c r="C112" t="s">
        <v>769</v>
      </c>
      <c r="D112">
        <v>25</v>
      </c>
      <c r="E112">
        <v>111</v>
      </c>
      <c r="F112">
        <v>192</v>
      </c>
    </row>
    <row r="113" spans="1:6" x14ac:dyDescent="0.25">
      <c r="A113">
        <v>112</v>
      </c>
      <c r="B113" t="s">
        <v>702</v>
      </c>
      <c r="C113" t="s">
        <v>703</v>
      </c>
      <c r="D113">
        <v>17</v>
      </c>
      <c r="E113">
        <v>103</v>
      </c>
      <c r="F113">
        <v>203</v>
      </c>
    </row>
    <row r="114" spans="1:6" x14ac:dyDescent="0.25">
      <c r="A114">
        <v>113</v>
      </c>
      <c r="B114" t="s">
        <v>713</v>
      </c>
      <c r="C114" t="s">
        <v>714</v>
      </c>
      <c r="D114">
        <v>27</v>
      </c>
      <c r="E114">
        <v>105</v>
      </c>
      <c r="F114">
        <v>145</v>
      </c>
    </row>
    <row r="115" spans="1:6" x14ac:dyDescent="0.25">
      <c r="A115">
        <v>114</v>
      </c>
      <c r="B115" t="s">
        <v>734</v>
      </c>
      <c r="C115" t="s">
        <v>735</v>
      </c>
      <c r="D115">
        <v>77</v>
      </c>
      <c r="E115">
        <v>110</v>
      </c>
      <c r="F115">
        <v>136</v>
      </c>
    </row>
    <row r="116" spans="1:6" x14ac:dyDescent="0.25">
      <c r="A116">
        <v>115</v>
      </c>
      <c r="B116" t="s">
        <v>781</v>
      </c>
      <c r="C116" t="s">
        <v>782</v>
      </c>
      <c r="D116">
        <v>13</v>
      </c>
      <c r="E116">
        <v>116</v>
      </c>
      <c r="F116">
        <v>173</v>
      </c>
    </row>
    <row r="117" spans="1:6" x14ac:dyDescent="0.25">
      <c r="A117">
        <v>116</v>
      </c>
      <c r="B117" t="s">
        <v>728</v>
      </c>
      <c r="C117" t="s">
        <v>729</v>
      </c>
      <c r="D117">
        <v>116</v>
      </c>
      <c r="E117">
        <v>118</v>
      </c>
      <c r="F117">
        <v>5</v>
      </c>
    </row>
    <row r="118" spans="1:6" x14ac:dyDescent="0.25">
      <c r="A118">
        <v>117</v>
      </c>
      <c r="B118" t="s">
        <v>721</v>
      </c>
      <c r="C118" t="s">
        <v>247</v>
      </c>
      <c r="D118">
        <v>11</v>
      </c>
      <c r="E118">
        <v>109</v>
      </c>
      <c r="F118">
        <v>202</v>
      </c>
    </row>
    <row r="119" spans="1:6" x14ac:dyDescent="0.25">
      <c r="A119">
        <v>118</v>
      </c>
      <c r="B119" t="s">
        <v>738</v>
      </c>
      <c r="C119" t="s">
        <v>739</v>
      </c>
      <c r="D119">
        <v>24</v>
      </c>
      <c r="E119">
        <v>123</v>
      </c>
      <c r="F119">
        <v>189</v>
      </c>
    </row>
    <row r="120" spans="1:6" x14ac:dyDescent="0.25">
      <c r="A120">
        <v>119</v>
      </c>
      <c r="B120" t="s">
        <v>688</v>
      </c>
      <c r="C120" t="s">
        <v>689</v>
      </c>
      <c r="D120">
        <v>12</v>
      </c>
      <c r="E120">
        <v>115</v>
      </c>
      <c r="F120">
        <v>135</v>
      </c>
    </row>
    <row r="121" spans="1:6" x14ac:dyDescent="0.25">
      <c r="A121">
        <v>120</v>
      </c>
      <c r="B121" t="s">
        <v>724</v>
      </c>
      <c r="C121" t="s">
        <v>725</v>
      </c>
      <c r="D121">
        <v>5</v>
      </c>
      <c r="E121">
        <v>122</v>
      </c>
      <c r="F121">
        <v>203</v>
      </c>
    </row>
    <row r="122" spans="1:6" x14ac:dyDescent="0.25">
      <c r="A122">
        <v>121</v>
      </c>
      <c r="B122" t="s">
        <v>726</v>
      </c>
      <c r="C122" t="s">
        <v>727</v>
      </c>
      <c r="D122">
        <v>23</v>
      </c>
      <c r="E122">
        <v>117</v>
      </c>
      <c r="F122">
        <v>203</v>
      </c>
    </row>
    <row r="123" spans="1:6" x14ac:dyDescent="0.25">
      <c r="A123">
        <v>122</v>
      </c>
      <c r="B123" t="s">
        <v>779</v>
      </c>
      <c r="C123" t="s">
        <v>780</v>
      </c>
      <c r="D123">
        <v>122</v>
      </c>
      <c r="E123">
        <v>143</v>
      </c>
      <c r="F123">
        <v>31</v>
      </c>
    </row>
    <row r="124" spans="1:6" x14ac:dyDescent="0.25">
      <c r="A124">
        <v>123</v>
      </c>
      <c r="B124" t="s">
        <v>753</v>
      </c>
      <c r="C124" t="s">
        <v>754</v>
      </c>
      <c r="D124">
        <v>123</v>
      </c>
      <c r="E124">
        <v>154</v>
      </c>
      <c r="F124">
        <v>11</v>
      </c>
    </row>
    <row r="125" spans="1:6" x14ac:dyDescent="0.25">
      <c r="A125">
        <v>124</v>
      </c>
      <c r="B125" t="s">
        <v>819</v>
      </c>
      <c r="C125" t="s">
        <v>820</v>
      </c>
      <c r="D125">
        <v>6</v>
      </c>
      <c r="E125">
        <v>169</v>
      </c>
      <c r="F125">
        <v>197</v>
      </c>
    </row>
    <row r="126" spans="1:6" x14ac:dyDescent="0.25">
      <c r="A126">
        <v>125</v>
      </c>
      <c r="B126" t="s">
        <v>717</v>
      </c>
      <c r="C126" t="s">
        <v>718</v>
      </c>
      <c r="D126">
        <v>50</v>
      </c>
      <c r="E126">
        <v>114</v>
      </c>
      <c r="F126">
        <v>41</v>
      </c>
    </row>
    <row r="127" spans="1:6" x14ac:dyDescent="0.25">
      <c r="A127">
        <v>126</v>
      </c>
      <c r="B127" t="s">
        <v>824</v>
      </c>
      <c r="C127" t="s">
        <v>825</v>
      </c>
      <c r="D127">
        <v>27</v>
      </c>
      <c r="E127">
        <v>97</v>
      </c>
      <c r="F127">
        <v>92</v>
      </c>
    </row>
    <row r="128" spans="1:6" x14ac:dyDescent="0.25">
      <c r="A128">
        <v>127</v>
      </c>
      <c r="B128" t="s">
        <v>719</v>
      </c>
      <c r="C128" t="s">
        <v>720</v>
      </c>
      <c r="D128">
        <v>35</v>
      </c>
      <c r="E128">
        <v>121</v>
      </c>
      <c r="F128">
        <v>176</v>
      </c>
    </row>
    <row r="129" spans="1:6" x14ac:dyDescent="0.25">
      <c r="A129">
        <v>128</v>
      </c>
      <c r="B129" t="s">
        <v>747</v>
      </c>
      <c r="C129" t="s">
        <v>748</v>
      </c>
      <c r="D129">
        <v>118</v>
      </c>
      <c r="E129">
        <v>126</v>
      </c>
      <c r="F129">
        <v>22</v>
      </c>
    </row>
    <row r="130" spans="1:6" x14ac:dyDescent="0.25">
      <c r="A130">
        <v>129</v>
      </c>
      <c r="B130" t="s">
        <v>773</v>
      </c>
      <c r="C130" t="s">
        <v>774</v>
      </c>
      <c r="D130">
        <v>14</v>
      </c>
      <c r="E130">
        <v>128</v>
      </c>
      <c r="F130">
        <v>87</v>
      </c>
    </row>
    <row r="131" spans="1:6" x14ac:dyDescent="0.25">
      <c r="A131">
        <v>130</v>
      </c>
      <c r="B131" t="s">
        <v>836</v>
      </c>
      <c r="C131" t="s">
        <v>837</v>
      </c>
      <c r="D131">
        <v>76</v>
      </c>
      <c r="E131">
        <v>137</v>
      </c>
      <c r="F131">
        <v>25</v>
      </c>
    </row>
    <row r="132" spans="1:6" x14ac:dyDescent="0.25">
      <c r="A132">
        <v>131</v>
      </c>
      <c r="B132" t="s">
        <v>730</v>
      </c>
      <c r="C132" t="s">
        <v>731</v>
      </c>
      <c r="D132">
        <v>36</v>
      </c>
      <c r="E132">
        <v>125</v>
      </c>
      <c r="F132">
        <v>187</v>
      </c>
    </row>
    <row r="133" spans="1:6" x14ac:dyDescent="0.25">
      <c r="A133">
        <v>132</v>
      </c>
      <c r="B133" t="s">
        <v>737</v>
      </c>
      <c r="C133" t="s">
        <v>520</v>
      </c>
      <c r="D133">
        <v>124</v>
      </c>
      <c r="E133">
        <v>124</v>
      </c>
      <c r="F133">
        <v>192</v>
      </c>
    </row>
    <row r="134" spans="1:6" x14ac:dyDescent="0.25">
      <c r="A134">
        <v>133</v>
      </c>
      <c r="B134" t="s">
        <v>832</v>
      </c>
      <c r="C134" t="s">
        <v>833</v>
      </c>
      <c r="D134">
        <v>75</v>
      </c>
      <c r="E134">
        <v>135</v>
      </c>
      <c r="F134">
        <v>203</v>
      </c>
    </row>
    <row r="135" spans="1:6" x14ac:dyDescent="0.25">
      <c r="A135">
        <v>134</v>
      </c>
      <c r="B135" t="s">
        <v>740</v>
      </c>
      <c r="C135" t="s">
        <v>741</v>
      </c>
      <c r="D135">
        <v>120</v>
      </c>
      <c r="E135">
        <v>129</v>
      </c>
      <c r="F135">
        <v>68</v>
      </c>
    </row>
    <row r="136" spans="1:6" x14ac:dyDescent="0.25">
      <c r="A136">
        <v>135</v>
      </c>
      <c r="B136" t="s">
        <v>775</v>
      </c>
      <c r="C136" t="s">
        <v>776</v>
      </c>
      <c r="D136">
        <v>81</v>
      </c>
      <c r="E136">
        <v>119</v>
      </c>
      <c r="F136">
        <v>203</v>
      </c>
    </row>
    <row r="137" spans="1:6" x14ac:dyDescent="0.25">
      <c r="A137">
        <v>136</v>
      </c>
      <c r="B137" t="s">
        <v>757</v>
      </c>
      <c r="C137" t="s">
        <v>758</v>
      </c>
      <c r="D137">
        <v>65</v>
      </c>
      <c r="E137">
        <v>136</v>
      </c>
      <c r="F137">
        <v>162</v>
      </c>
    </row>
    <row r="138" spans="1:6" x14ac:dyDescent="0.25">
      <c r="A138">
        <v>137</v>
      </c>
      <c r="B138" t="s">
        <v>744</v>
      </c>
      <c r="C138" t="s">
        <v>745</v>
      </c>
      <c r="D138">
        <v>87</v>
      </c>
      <c r="E138">
        <v>131</v>
      </c>
      <c r="F138">
        <v>203</v>
      </c>
    </row>
    <row r="139" spans="1:6" x14ac:dyDescent="0.25">
      <c r="A139">
        <v>138</v>
      </c>
      <c r="B139" t="s">
        <v>762</v>
      </c>
      <c r="C139" t="s">
        <v>763</v>
      </c>
      <c r="D139">
        <v>67</v>
      </c>
      <c r="E139">
        <v>145</v>
      </c>
      <c r="F139">
        <v>197</v>
      </c>
    </row>
    <row r="140" spans="1:6" x14ac:dyDescent="0.25">
      <c r="A140">
        <v>139</v>
      </c>
      <c r="B140" t="s">
        <v>736</v>
      </c>
      <c r="C140" t="s">
        <v>164</v>
      </c>
      <c r="D140">
        <v>127</v>
      </c>
      <c r="E140">
        <v>133</v>
      </c>
      <c r="F140">
        <v>19</v>
      </c>
    </row>
    <row r="141" spans="1:6" x14ac:dyDescent="0.25">
      <c r="A141">
        <v>140</v>
      </c>
      <c r="B141" t="s">
        <v>766</v>
      </c>
      <c r="C141" t="s">
        <v>767</v>
      </c>
      <c r="D141">
        <v>13</v>
      </c>
      <c r="E141">
        <v>134</v>
      </c>
      <c r="F141">
        <v>168</v>
      </c>
    </row>
    <row r="142" spans="1:6" x14ac:dyDescent="0.25">
      <c r="A142">
        <v>141</v>
      </c>
      <c r="B142" t="s">
        <v>761</v>
      </c>
      <c r="C142" t="s">
        <v>129</v>
      </c>
      <c r="D142">
        <v>134</v>
      </c>
      <c r="E142">
        <v>142</v>
      </c>
      <c r="F142">
        <v>31</v>
      </c>
    </row>
    <row r="143" spans="1:6" x14ac:dyDescent="0.25">
      <c r="A143">
        <v>142</v>
      </c>
      <c r="B143" t="s">
        <v>751</v>
      </c>
      <c r="C143" t="s">
        <v>752</v>
      </c>
      <c r="D143">
        <v>13</v>
      </c>
      <c r="E143">
        <v>140</v>
      </c>
      <c r="F143">
        <v>203</v>
      </c>
    </row>
    <row r="144" spans="1:6" x14ac:dyDescent="0.25">
      <c r="A144">
        <v>143</v>
      </c>
      <c r="B144" t="s">
        <v>755</v>
      </c>
      <c r="C144" t="s">
        <v>756</v>
      </c>
      <c r="D144">
        <v>56</v>
      </c>
      <c r="E144">
        <v>149</v>
      </c>
      <c r="F144">
        <v>163</v>
      </c>
    </row>
    <row r="145" spans="1:6" x14ac:dyDescent="0.25">
      <c r="A145">
        <v>144</v>
      </c>
      <c r="B145" t="s">
        <v>787</v>
      </c>
      <c r="C145" t="s">
        <v>788</v>
      </c>
      <c r="D145">
        <v>49</v>
      </c>
      <c r="E145">
        <v>132</v>
      </c>
      <c r="F145">
        <v>132</v>
      </c>
    </row>
    <row r="146" spans="1:6" x14ac:dyDescent="0.25">
      <c r="A146">
        <v>145</v>
      </c>
      <c r="B146" t="s">
        <v>764</v>
      </c>
      <c r="C146" t="s">
        <v>765</v>
      </c>
      <c r="D146">
        <v>107</v>
      </c>
      <c r="E146">
        <v>130</v>
      </c>
      <c r="F146">
        <v>14</v>
      </c>
    </row>
    <row r="147" spans="1:6" x14ac:dyDescent="0.25">
      <c r="A147">
        <v>146</v>
      </c>
      <c r="B147" t="s">
        <v>810</v>
      </c>
      <c r="C147" t="s">
        <v>368</v>
      </c>
      <c r="D147">
        <v>92</v>
      </c>
      <c r="E147">
        <v>153</v>
      </c>
      <c r="F147">
        <v>203</v>
      </c>
    </row>
    <row r="148" spans="1:6" x14ac:dyDescent="0.25">
      <c r="A148">
        <v>147</v>
      </c>
      <c r="B148" t="s">
        <v>746</v>
      </c>
      <c r="C148" t="s">
        <v>332</v>
      </c>
      <c r="D148">
        <v>6</v>
      </c>
      <c r="E148">
        <v>127</v>
      </c>
      <c r="F148">
        <v>203</v>
      </c>
    </row>
    <row r="149" spans="1:6" x14ac:dyDescent="0.25">
      <c r="A149">
        <v>148</v>
      </c>
      <c r="B149" t="s">
        <v>808</v>
      </c>
      <c r="C149" t="s">
        <v>809</v>
      </c>
      <c r="D149">
        <v>80</v>
      </c>
      <c r="E149">
        <v>138</v>
      </c>
      <c r="F149">
        <v>122</v>
      </c>
    </row>
    <row r="150" spans="1:6" x14ac:dyDescent="0.25">
      <c r="A150">
        <v>149</v>
      </c>
      <c r="B150" t="s">
        <v>4212</v>
      </c>
      <c r="C150" t="s">
        <v>4213</v>
      </c>
      <c r="D150">
        <v>121</v>
      </c>
      <c r="E150">
        <v>188</v>
      </c>
      <c r="F150">
        <v>51</v>
      </c>
    </row>
    <row r="151" spans="1:6" x14ac:dyDescent="0.25">
      <c r="A151">
        <v>150</v>
      </c>
      <c r="B151" t="s">
        <v>770</v>
      </c>
      <c r="C151" t="s">
        <v>771</v>
      </c>
      <c r="D151">
        <v>26</v>
      </c>
      <c r="E151">
        <v>148</v>
      </c>
      <c r="F151">
        <v>189</v>
      </c>
    </row>
    <row r="152" spans="1:6" x14ac:dyDescent="0.25">
      <c r="A152">
        <v>151</v>
      </c>
      <c r="B152" t="s">
        <v>866</v>
      </c>
      <c r="C152" t="s">
        <v>867</v>
      </c>
      <c r="D152">
        <v>25</v>
      </c>
      <c r="E152">
        <v>167</v>
      </c>
      <c r="F152">
        <v>136</v>
      </c>
    </row>
    <row r="153" spans="1:6" x14ac:dyDescent="0.25">
      <c r="A153">
        <v>152</v>
      </c>
      <c r="B153" t="s">
        <v>759</v>
      </c>
      <c r="C153" t="s">
        <v>760</v>
      </c>
      <c r="D153">
        <v>5</v>
      </c>
      <c r="E153">
        <v>139</v>
      </c>
      <c r="F153">
        <v>201</v>
      </c>
    </row>
    <row r="154" spans="1:6" x14ac:dyDescent="0.25">
      <c r="A154">
        <v>153</v>
      </c>
      <c r="B154" t="s">
        <v>789</v>
      </c>
      <c r="C154" t="s">
        <v>790</v>
      </c>
      <c r="D154">
        <v>45</v>
      </c>
      <c r="E154">
        <v>156</v>
      </c>
      <c r="F154">
        <v>203</v>
      </c>
    </row>
    <row r="155" spans="1:6" x14ac:dyDescent="0.25">
      <c r="A155">
        <v>154</v>
      </c>
      <c r="B155" t="s">
        <v>1083</v>
      </c>
      <c r="C155" t="s">
        <v>1063</v>
      </c>
      <c r="D155">
        <v>89</v>
      </c>
      <c r="E155">
        <v>89</v>
      </c>
      <c r="F155">
        <v>11</v>
      </c>
    </row>
    <row r="156" spans="1:6" x14ac:dyDescent="0.25">
      <c r="A156">
        <v>155</v>
      </c>
      <c r="B156" t="s">
        <v>783</v>
      </c>
      <c r="C156" t="s">
        <v>784</v>
      </c>
      <c r="D156">
        <v>16</v>
      </c>
      <c r="E156">
        <v>141</v>
      </c>
      <c r="F156">
        <v>203</v>
      </c>
    </row>
    <row r="157" spans="1:6" x14ac:dyDescent="0.25">
      <c r="A157">
        <v>156</v>
      </c>
      <c r="B157" t="s">
        <v>800</v>
      </c>
      <c r="C157" t="s">
        <v>801</v>
      </c>
      <c r="D157">
        <v>86</v>
      </c>
      <c r="E157">
        <v>147</v>
      </c>
      <c r="F157">
        <v>9</v>
      </c>
    </row>
    <row r="158" spans="1:6" x14ac:dyDescent="0.25">
      <c r="A158">
        <v>157</v>
      </c>
      <c r="B158" t="s">
        <v>844</v>
      </c>
      <c r="C158" t="s">
        <v>845</v>
      </c>
      <c r="D158">
        <v>100</v>
      </c>
      <c r="E158">
        <v>157</v>
      </c>
      <c r="F158">
        <v>58</v>
      </c>
    </row>
    <row r="159" spans="1:6" x14ac:dyDescent="0.25">
      <c r="A159">
        <v>158</v>
      </c>
      <c r="B159" t="s">
        <v>785</v>
      </c>
      <c r="C159" t="s">
        <v>786</v>
      </c>
      <c r="D159">
        <v>62</v>
      </c>
      <c r="E159">
        <v>158</v>
      </c>
      <c r="F159">
        <v>166</v>
      </c>
    </row>
    <row r="160" spans="1:6" x14ac:dyDescent="0.25">
      <c r="A160">
        <v>159</v>
      </c>
      <c r="B160" t="s">
        <v>793</v>
      </c>
      <c r="C160" t="s">
        <v>794</v>
      </c>
      <c r="D160">
        <v>119</v>
      </c>
      <c r="E160">
        <v>150</v>
      </c>
      <c r="F160">
        <v>44</v>
      </c>
    </row>
    <row r="161" spans="1:6" x14ac:dyDescent="0.25">
      <c r="A161">
        <v>160</v>
      </c>
      <c r="B161" t="s">
        <v>806</v>
      </c>
      <c r="C161" t="s">
        <v>807</v>
      </c>
      <c r="D161">
        <v>91</v>
      </c>
      <c r="E161">
        <v>151</v>
      </c>
      <c r="F161">
        <v>9</v>
      </c>
    </row>
    <row r="162" spans="1:6" x14ac:dyDescent="0.25">
      <c r="A162">
        <v>161</v>
      </c>
      <c r="B162" t="s">
        <v>777</v>
      </c>
      <c r="C162" t="s">
        <v>778</v>
      </c>
      <c r="D162">
        <v>116</v>
      </c>
      <c r="E162">
        <v>152</v>
      </c>
      <c r="F162">
        <v>26</v>
      </c>
    </row>
    <row r="163" spans="1:6" x14ac:dyDescent="0.25">
      <c r="A163">
        <v>162</v>
      </c>
      <c r="B163" t="s">
        <v>828</v>
      </c>
      <c r="C163" t="s">
        <v>829</v>
      </c>
      <c r="D163">
        <v>11</v>
      </c>
      <c r="E163">
        <v>163</v>
      </c>
      <c r="F163">
        <v>193</v>
      </c>
    </row>
    <row r="164" spans="1:6" x14ac:dyDescent="0.25">
      <c r="A164">
        <v>163</v>
      </c>
      <c r="B164" t="s">
        <v>846</v>
      </c>
      <c r="C164" t="s">
        <v>847</v>
      </c>
      <c r="D164">
        <v>97</v>
      </c>
      <c r="E164">
        <v>175</v>
      </c>
      <c r="F164">
        <v>86</v>
      </c>
    </row>
    <row r="165" spans="1:6" x14ac:dyDescent="0.25">
      <c r="A165">
        <v>164</v>
      </c>
      <c r="B165" t="s">
        <v>802</v>
      </c>
      <c r="C165" t="s">
        <v>803</v>
      </c>
      <c r="D165">
        <v>30</v>
      </c>
      <c r="E165">
        <v>162</v>
      </c>
      <c r="F165">
        <v>103</v>
      </c>
    </row>
    <row r="166" spans="1:6" x14ac:dyDescent="0.25">
      <c r="A166">
        <v>165</v>
      </c>
      <c r="B166" t="s">
        <v>791</v>
      </c>
      <c r="C166" t="s">
        <v>792</v>
      </c>
      <c r="D166">
        <v>68</v>
      </c>
      <c r="E166">
        <v>159</v>
      </c>
      <c r="F166">
        <v>21</v>
      </c>
    </row>
    <row r="167" spans="1:6" x14ac:dyDescent="0.25">
      <c r="A167">
        <v>166</v>
      </c>
      <c r="B167" t="s">
        <v>817</v>
      </c>
      <c r="C167" t="s">
        <v>818</v>
      </c>
      <c r="D167">
        <v>39</v>
      </c>
      <c r="E167">
        <v>173</v>
      </c>
      <c r="F167">
        <v>37</v>
      </c>
    </row>
    <row r="168" spans="1:6" x14ac:dyDescent="0.25">
      <c r="A168">
        <v>167</v>
      </c>
      <c r="B168" t="s">
        <v>815</v>
      </c>
      <c r="C168" t="s">
        <v>816</v>
      </c>
      <c r="D168">
        <v>50</v>
      </c>
      <c r="E168">
        <v>168</v>
      </c>
      <c r="F168">
        <v>178</v>
      </c>
    </row>
    <row r="169" spans="1:6" x14ac:dyDescent="0.25">
      <c r="A169">
        <v>168</v>
      </c>
      <c r="B169" t="s">
        <v>821</v>
      </c>
      <c r="C169" t="s">
        <v>822</v>
      </c>
      <c r="D169">
        <v>121</v>
      </c>
      <c r="E169">
        <v>164</v>
      </c>
      <c r="F169">
        <v>145</v>
      </c>
    </row>
    <row r="170" spans="1:6" x14ac:dyDescent="0.25">
      <c r="A170">
        <v>169</v>
      </c>
      <c r="B170" t="s">
        <v>4558</v>
      </c>
      <c r="C170" t="s">
        <v>2425</v>
      </c>
      <c r="D170">
        <v>169</v>
      </c>
      <c r="E170">
        <v>-1</v>
      </c>
      <c r="F170">
        <v>2</v>
      </c>
    </row>
    <row r="171" spans="1:6" x14ac:dyDescent="0.25">
      <c r="A171">
        <v>170</v>
      </c>
      <c r="B171" t="s">
        <v>848</v>
      </c>
      <c r="C171" t="s">
        <v>849</v>
      </c>
      <c r="D171">
        <v>149</v>
      </c>
      <c r="E171">
        <v>172</v>
      </c>
      <c r="F171">
        <v>7</v>
      </c>
    </row>
    <row r="172" spans="1:6" x14ac:dyDescent="0.25">
      <c r="A172">
        <v>171</v>
      </c>
      <c r="B172" t="s">
        <v>850</v>
      </c>
      <c r="C172" t="s">
        <v>851</v>
      </c>
      <c r="D172">
        <v>93</v>
      </c>
      <c r="E172">
        <v>174</v>
      </c>
      <c r="F172">
        <v>198</v>
      </c>
    </row>
    <row r="173" spans="1:6" x14ac:dyDescent="0.25">
      <c r="A173">
        <v>172</v>
      </c>
      <c r="B173" t="s">
        <v>804</v>
      </c>
      <c r="C173" t="s">
        <v>805</v>
      </c>
      <c r="D173">
        <v>40</v>
      </c>
      <c r="E173">
        <v>155</v>
      </c>
      <c r="F173">
        <v>103</v>
      </c>
    </row>
    <row r="174" spans="1:6" x14ac:dyDescent="0.25">
      <c r="A174">
        <v>173</v>
      </c>
      <c r="B174" t="s">
        <v>4313</v>
      </c>
      <c r="C174" t="s">
        <v>864</v>
      </c>
      <c r="D174">
        <v>70</v>
      </c>
      <c r="E174">
        <v>-1</v>
      </c>
      <c r="F174">
        <v>36</v>
      </c>
    </row>
    <row r="175" spans="1:6" x14ac:dyDescent="0.25">
      <c r="A175">
        <v>174</v>
      </c>
      <c r="B175" t="s">
        <v>811</v>
      </c>
      <c r="C175" t="s">
        <v>812</v>
      </c>
      <c r="D175">
        <v>70</v>
      </c>
      <c r="E175">
        <v>170</v>
      </c>
      <c r="F175">
        <v>202</v>
      </c>
    </row>
    <row r="176" spans="1:6" x14ac:dyDescent="0.25">
      <c r="A176">
        <v>175</v>
      </c>
      <c r="B176" t="s">
        <v>796</v>
      </c>
      <c r="C176" t="s">
        <v>797</v>
      </c>
      <c r="D176">
        <v>101</v>
      </c>
      <c r="E176">
        <v>161</v>
      </c>
      <c r="F176">
        <v>203</v>
      </c>
    </row>
    <row r="177" spans="1:6" x14ac:dyDescent="0.25">
      <c r="A177">
        <v>176</v>
      </c>
      <c r="B177" t="s">
        <v>838</v>
      </c>
      <c r="C177" t="s">
        <v>839</v>
      </c>
      <c r="D177">
        <v>57</v>
      </c>
      <c r="E177">
        <v>171</v>
      </c>
      <c r="F177">
        <v>148</v>
      </c>
    </row>
    <row r="178" spans="1:6" x14ac:dyDescent="0.25">
      <c r="A178">
        <v>177</v>
      </c>
      <c r="B178" t="s">
        <v>1084</v>
      </c>
      <c r="C178" t="s">
        <v>1059</v>
      </c>
      <c r="D178">
        <v>39</v>
      </c>
      <c r="E178">
        <v>166</v>
      </c>
      <c r="F178">
        <v>140</v>
      </c>
    </row>
    <row r="179" spans="1:6" x14ac:dyDescent="0.25">
      <c r="A179">
        <v>178</v>
      </c>
      <c r="B179" t="s">
        <v>852</v>
      </c>
      <c r="C179" t="s">
        <v>853</v>
      </c>
      <c r="D179">
        <v>155</v>
      </c>
      <c r="E179">
        <v>165</v>
      </c>
      <c r="F179">
        <v>18</v>
      </c>
    </row>
    <row r="180" spans="1:6" x14ac:dyDescent="0.25">
      <c r="A180">
        <v>179</v>
      </c>
      <c r="B180" t="s">
        <v>4214</v>
      </c>
      <c r="C180" t="s">
        <v>4215</v>
      </c>
      <c r="D180">
        <v>179</v>
      </c>
      <c r="E180">
        <v>198</v>
      </c>
      <c r="F180">
        <v>4</v>
      </c>
    </row>
    <row r="181" spans="1:6" x14ac:dyDescent="0.25">
      <c r="A181">
        <v>180</v>
      </c>
      <c r="B181" t="s">
        <v>826</v>
      </c>
      <c r="C181" t="s">
        <v>827</v>
      </c>
      <c r="D181">
        <v>134</v>
      </c>
      <c r="E181">
        <v>178</v>
      </c>
      <c r="F181">
        <v>67</v>
      </c>
    </row>
    <row r="182" spans="1:6" x14ac:dyDescent="0.25">
      <c r="A182">
        <v>181</v>
      </c>
      <c r="B182" t="s">
        <v>870</v>
      </c>
      <c r="C182" t="s">
        <v>871</v>
      </c>
      <c r="D182">
        <v>173</v>
      </c>
      <c r="E182">
        <v>176</v>
      </c>
      <c r="F182">
        <v>6</v>
      </c>
    </row>
    <row r="183" spans="1:6" x14ac:dyDescent="0.25">
      <c r="A183">
        <v>182</v>
      </c>
      <c r="B183" t="s">
        <v>857</v>
      </c>
      <c r="C183" t="s">
        <v>858</v>
      </c>
      <c r="D183">
        <v>65</v>
      </c>
      <c r="E183">
        <v>181</v>
      </c>
      <c r="F183">
        <v>155</v>
      </c>
    </row>
    <row r="184" spans="1:6" x14ac:dyDescent="0.25">
      <c r="A184">
        <v>183</v>
      </c>
      <c r="B184" t="s">
        <v>1086</v>
      </c>
      <c r="C184" t="s">
        <v>1087</v>
      </c>
      <c r="D184">
        <v>92</v>
      </c>
      <c r="E184">
        <v>179</v>
      </c>
      <c r="F184">
        <v>175</v>
      </c>
    </row>
    <row r="185" spans="1:6" x14ac:dyDescent="0.25">
      <c r="A185">
        <v>184</v>
      </c>
      <c r="B185" t="s">
        <v>840</v>
      </c>
      <c r="C185" t="s">
        <v>841</v>
      </c>
      <c r="D185">
        <v>21</v>
      </c>
      <c r="E185">
        <v>187</v>
      </c>
      <c r="F185">
        <v>199</v>
      </c>
    </row>
    <row r="186" spans="1:6" x14ac:dyDescent="0.25">
      <c r="A186">
        <v>185</v>
      </c>
      <c r="B186" t="s">
        <v>2423</v>
      </c>
      <c r="C186" t="s">
        <v>2424</v>
      </c>
      <c r="D186">
        <v>136</v>
      </c>
      <c r="E186">
        <v>199</v>
      </c>
      <c r="F186">
        <v>40</v>
      </c>
    </row>
    <row r="187" spans="1:6" x14ac:dyDescent="0.25">
      <c r="A187">
        <v>186</v>
      </c>
      <c r="B187" t="s">
        <v>4220</v>
      </c>
      <c r="C187" t="s">
        <v>3936</v>
      </c>
      <c r="D187">
        <v>9</v>
      </c>
      <c r="E187">
        <v>197</v>
      </c>
      <c r="F187">
        <v>159</v>
      </c>
    </row>
    <row r="188" spans="1:6" x14ac:dyDescent="0.25">
      <c r="A188">
        <v>187</v>
      </c>
      <c r="B188" t="s">
        <v>823</v>
      </c>
      <c r="C188" t="s">
        <v>419</v>
      </c>
      <c r="D188">
        <v>65</v>
      </c>
      <c r="E188">
        <v>177</v>
      </c>
      <c r="F188">
        <v>96</v>
      </c>
    </row>
    <row r="189" spans="1:6" x14ac:dyDescent="0.25">
      <c r="A189">
        <v>188</v>
      </c>
      <c r="B189" t="s">
        <v>3818</v>
      </c>
      <c r="C189" t="s">
        <v>3819</v>
      </c>
      <c r="D189">
        <v>90</v>
      </c>
      <c r="E189">
        <v>192</v>
      </c>
      <c r="F189">
        <v>22</v>
      </c>
    </row>
    <row r="190" spans="1:6" x14ac:dyDescent="0.25">
      <c r="A190">
        <v>189</v>
      </c>
      <c r="B190" t="s">
        <v>2421</v>
      </c>
      <c r="C190" t="s">
        <v>2422</v>
      </c>
      <c r="D190">
        <v>140</v>
      </c>
      <c r="E190">
        <v>189</v>
      </c>
      <c r="F190">
        <v>33</v>
      </c>
    </row>
    <row r="191" spans="1:6" x14ac:dyDescent="0.25">
      <c r="A191">
        <v>190</v>
      </c>
      <c r="B191" t="s">
        <v>859</v>
      </c>
      <c r="C191" t="s">
        <v>495</v>
      </c>
      <c r="D191">
        <v>62</v>
      </c>
      <c r="E191">
        <v>190</v>
      </c>
      <c r="F191">
        <v>197</v>
      </c>
    </row>
    <row r="192" spans="1:6" x14ac:dyDescent="0.25">
      <c r="A192">
        <v>191</v>
      </c>
      <c r="B192" t="s">
        <v>798</v>
      </c>
      <c r="C192" t="s">
        <v>799</v>
      </c>
      <c r="D192">
        <v>12</v>
      </c>
      <c r="E192">
        <v>160</v>
      </c>
      <c r="F192">
        <v>57</v>
      </c>
    </row>
    <row r="193" spans="1:6" x14ac:dyDescent="0.25">
      <c r="A193">
        <v>192</v>
      </c>
      <c r="B193" t="s">
        <v>842</v>
      </c>
      <c r="C193" t="s">
        <v>843</v>
      </c>
      <c r="D193">
        <v>41</v>
      </c>
      <c r="E193">
        <v>180</v>
      </c>
      <c r="F193">
        <v>184</v>
      </c>
    </row>
    <row r="194" spans="1:6" x14ac:dyDescent="0.25">
      <c r="A194">
        <v>193</v>
      </c>
      <c r="B194" t="s">
        <v>830</v>
      </c>
      <c r="C194" t="s">
        <v>831</v>
      </c>
      <c r="D194">
        <v>152</v>
      </c>
      <c r="E194">
        <v>183</v>
      </c>
      <c r="F194">
        <v>141</v>
      </c>
    </row>
    <row r="195" spans="1:6" x14ac:dyDescent="0.25">
      <c r="A195">
        <v>194</v>
      </c>
      <c r="B195" t="s">
        <v>4507</v>
      </c>
      <c r="C195" t="s">
        <v>3612</v>
      </c>
      <c r="D195">
        <v>192</v>
      </c>
      <c r="E195">
        <v>-1</v>
      </c>
      <c r="F195">
        <v>3</v>
      </c>
    </row>
    <row r="196" spans="1:6" x14ac:dyDescent="0.25">
      <c r="A196">
        <v>195</v>
      </c>
      <c r="B196" t="s">
        <v>834</v>
      </c>
      <c r="C196" t="s">
        <v>835</v>
      </c>
      <c r="D196">
        <v>20</v>
      </c>
      <c r="E196">
        <v>184</v>
      </c>
      <c r="F196">
        <v>193</v>
      </c>
    </row>
    <row r="197" spans="1:6" x14ac:dyDescent="0.25">
      <c r="A197">
        <v>196</v>
      </c>
      <c r="B197" t="s">
        <v>1085</v>
      </c>
      <c r="C197" t="s">
        <v>28</v>
      </c>
      <c r="D197">
        <v>180</v>
      </c>
      <c r="E197">
        <v>193</v>
      </c>
      <c r="F197">
        <v>10</v>
      </c>
    </row>
    <row r="198" spans="1:6" x14ac:dyDescent="0.25">
      <c r="A198">
        <v>197</v>
      </c>
      <c r="B198" t="s">
        <v>854</v>
      </c>
      <c r="C198" t="s">
        <v>855</v>
      </c>
      <c r="D198">
        <v>189</v>
      </c>
      <c r="E198">
        <v>191</v>
      </c>
      <c r="F198">
        <v>3</v>
      </c>
    </row>
    <row r="199" spans="1:6" x14ac:dyDescent="0.25">
      <c r="A199">
        <v>198</v>
      </c>
      <c r="B199" t="s">
        <v>4637</v>
      </c>
      <c r="C199" t="s">
        <v>3317</v>
      </c>
      <c r="D199">
        <v>6</v>
      </c>
      <c r="E199">
        <v>-1</v>
      </c>
      <c r="F199">
        <v>163</v>
      </c>
    </row>
    <row r="200" spans="1:6" x14ac:dyDescent="0.25">
      <c r="A200">
        <v>199</v>
      </c>
      <c r="B200" t="s">
        <v>862</v>
      </c>
      <c r="C200" t="s">
        <v>863</v>
      </c>
      <c r="D200">
        <v>28</v>
      </c>
      <c r="E200">
        <v>185</v>
      </c>
      <c r="F200">
        <v>163</v>
      </c>
    </row>
    <row r="201" spans="1:6" x14ac:dyDescent="0.25">
      <c r="A201">
        <v>200</v>
      </c>
      <c r="B201" t="s">
        <v>865</v>
      </c>
      <c r="C201" t="s">
        <v>507</v>
      </c>
      <c r="D201">
        <v>7</v>
      </c>
      <c r="E201">
        <v>186</v>
      </c>
      <c r="F201">
        <v>197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6766A-69CF-4F9F-9E53-F8D462E8318F}">
  <sheetPr codeName="Planilha14"/>
  <dimension ref="A1:H201"/>
  <sheetViews>
    <sheetView showGridLines="0" zoomScale="90" zoomScaleNormal="90" workbookViewId="0">
      <selection activeCell="C7" sqref="C7"/>
    </sheetView>
  </sheetViews>
  <sheetFormatPr defaultRowHeight="15" x14ac:dyDescent="0.25"/>
  <cols>
    <col min="1" max="1" width="7.42578125" bestFit="1" customWidth="1"/>
    <col min="2" max="2" width="42.28515625" bestFit="1" customWidth="1"/>
    <col min="3" max="3" width="43.42578125" bestFit="1" customWidth="1"/>
    <col min="4" max="4" width="52.85546875" bestFit="1" customWidth="1"/>
    <col min="5" max="5" width="63" bestFit="1" customWidth="1"/>
    <col min="6" max="6" width="12.5703125" bestFit="1" customWidth="1"/>
    <col min="7" max="7" width="16" bestFit="1" customWidth="1"/>
    <col min="8" max="8" width="17.855468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1981</v>
      </c>
      <c r="E1" t="s">
        <v>4</v>
      </c>
      <c r="F1" t="s">
        <v>5</v>
      </c>
      <c r="G1" t="s">
        <v>6</v>
      </c>
      <c r="H1" t="s">
        <v>1956</v>
      </c>
    </row>
    <row r="2" spans="1:8" x14ac:dyDescent="0.25">
      <c r="A2">
        <v>1</v>
      </c>
      <c r="B2" t="s">
        <v>2155</v>
      </c>
      <c r="C2" t="s">
        <v>43</v>
      </c>
      <c r="D2" t="s">
        <v>2156</v>
      </c>
      <c r="E2" t="s">
        <v>31</v>
      </c>
      <c r="F2">
        <v>1</v>
      </c>
      <c r="G2">
        <v>1</v>
      </c>
      <c r="H2">
        <v>38</v>
      </c>
    </row>
    <row r="3" spans="1:8" x14ac:dyDescent="0.25">
      <c r="A3">
        <v>2</v>
      </c>
      <c r="B3" t="s">
        <v>4262</v>
      </c>
      <c r="C3" t="s">
        <v>496</v>
      </c>
      <c r="D3" t="s">
        <v>4263</v>
      </c>
      <c r="E3" t="s">
        <v>1133</v>
      </c>
      <c r="F3">
        <v>2</v>
      </c>
      <c r="G3">
        <v>-1</v>
      </c>
      <c r="H3">
        <v>1</v>
      </c>
    </row>
    <row r="4" spans="1:8" x14ac:dyDescent="0.25">
      <c r="A4">
        <v>3</v>
      </c>
      <c r="B4" t="s">
        <v>2426</v>
      </c>
      <c r="C4" t="s">
        <v>22</v>
      </c>
      <c r="D4" t="s">
        <v>2427</v>
      </c>
      <c r="E4" t="s">
        <v>24</v>
      </c>
      <c r="F4">
        <v>2</v>
      </c>
      <c r="G4">
        <v>2</v>
      </c>
      <c r="H4">
        <v>4</v>
      </c>
    </row>
    <row r="5" spans="1:8" x14ac:dyDescent="0.25">
      <c r="A5">
        <v>4</v>
      </c>
      <c r="B5" t="s">
        <v>2438</v>
      </c>
      <c r="C5" t="s">
        <v>33</v>
      </c>
      <c r="D5" t="s">
        <v>2439</v>
      </c>
      <c r="E5" t="s">
        <v>12</v>
      </c>
      <c r="F5">
        <v>3</v>
      </c>
      <c r="G5">
        <v>3</v>
      </c>
      <c r="H5">
        <v>42</v>
      </c>
    </row>
    <row r="6" spans="1:8" x14ac:dyDescent="0.25">
      <c r="A6">
        <v>5</v>
      </c>
      <c r="B6" t="s">
        <v>2432</v>
      </c>
      <c r="C6" t="s">
        <v>58</v>
      </c>
      <c r="D6" t="s">
        <v>2433</v>
      </c>
      <c r="E6" t="s">
        <v>60</v>
      </c>
      <c r="F6">
        <v>1</v>
      </c>
      <c r="G6">
        <v>5</v>
      </c>
      <c r="H6">
        <v>10</v>
      </c>
    </row>
    <row r="7" spans="1:8" x14ac:dyDescent="0.25">
      <c r="A7">
        <v>6</v>
      </c>
      <c r="B7" t="s">
        <v>2440</v>
      </c>
      <c r="C7" t="s">
        <v>2441</v>
      </c>
      <c r="D7" t="s">
        <v>2442</v>
      </c>
      <c r="E7" t="s">
        <v>41</v>
      </c>
      <c r="F7">
        <v>3</v>
      </c>
      <c r="G7">
        <v>8</v>
      </c>
      <c r="H7">
        <v>23</v>
      </c>
    </row>
    <row r="8" spans="1:8" x14ac:dyDescent="0.25">
      <c r="A8">
        <v>7</v>
      </c>
      <c r="B8" t="s">
        <v>2430</v>
      </c>
      <c r="C8" t="s">
        <v>46</v>
      </c>
      <c r="D8" t="s">
        <v>2431</v>
      </c>
      <c r="E8" t="s">
        <v>12</v>
      </c>
      <c r="F8">
        <v>4</v>
      </c>
      <c r="G8">
        <v>6</v>
      </c>
      <c r="H8">
        <v>3</v>
      </c>
    </row>
    <row r="9" spans="1:8" x14ac:dyDescent="0.25">
      <c r="A9">
        <v>8</v>
      </c>
      <c r="B9" t="s">
        <v>2434</v>
      </c>
      <c r="C9" t="s">
        <v>93</v>
      </c>
      <c r="D9" t="s">
        <v>2435</v>
      </c>
      <c r="E9" t="s">
        <v>24</v>
      </c>
      <c r="F9">
        <v>6</v>
      </c>
      <c r="G9">
        <v>7</v>
      </c>
      <c r="H9">
        <v>3</v>
      </c>
    </row>
    <row r="10" spans="1:8" x14ac:dyDescent="0.25">
      <c r="A10">
        <v>9</v>
      </c>
      <c r="B10" t="s">
        <v>2436</v>
      </c>
      <c r="C10" t="s">
        <v>557</v>
      </c>
      <c r="D10" t="s">
        <v>2437</v>
      </c>
      <c r="E10" t="s">
        <v>41</v>
      </c>
      <c r="F10">
        <v>4</v>
      </c>
      <c r="G10">
        <v>9</v>
      </c>
      <c r="H10">
        <v>25</v>
      </c>
    </row>
    <row r="11" spans="1:8" x14ac:dyDescent="0.25">
      <c r="A11">
        <v>10</v>
      </c>
      <c r="B11" t="s">
        <v>2428</v>
      </c>
      <c r="C11" t="s">
        <v>527</v>
      </c>
      <c r="D11" t="s">
        <v>2429</v>
      </c>
      <c r="E11" t="s">
        <v>20</v>
      </c>
      <c r="F11">
        <v>2</v>
      </c>
      <c r="G11">
        <v>4</v>
      </c>
      <c r="H11">
        <v>11</v>
      </c>
    </row>
    <row r="12" spans="1:8" x14ac:dyDescent="0.25">
      <c r="A12">
        <v>11</v>
      </c>
      <c r="B12" t="s">
        <v>2445</v>
      </c>
      <c r="C12" t="s">
        <v>281</v>
      </c>
      <c r="D12" t="s">
        <v>2446</v>
      </c>
      <c r="E12" t="s">
        <v>283</v>
      </c>
      <c r="F12">
        <v>7</v>
      </c>
      <c r="G12">
        <v>11</v>
      </c>
      <c r="H12">
        <v>251</v>
      </c>
    </row>
    <row r="13" spans="1:8" x14ac:dyDescent="0.25">
      <c r="A13">
        <v>12</v>
      </c>
      <c r="B13" t="s">
        <v>2443</v>
      </c>
      <c r="C13" t="s">
        <v>43</v>
      </c>
      <c r="D13" t="s">
        <v>2444</v>
      </c>
      <c r="E13" t="s">
        <v>31</v>
      </c>
      <c r="F13">
        <v>2</v>
      </c>
      <c r="G13">
        <v>10</v>
      </c>
      <c r="H13">
        <v>251</v>
      </c>
    </row>
    <row r="14" spans="1:8" x14ac:dyDescent="0.25">
      <c r="A14">
        <v>13</v>
      </c>
      <c r="B14" t="s">
        <v>2449</v>
      </c>
      <c r="C14" t="s">
        <v>43</v>
      </c>
      <c r="D14" t="s">
        <v>2450</v>
      </c>
      <c r="E14" t="s">
        <v>31</v>
      </c>
      <c r="F14">
        <v>1</v>
      </c>
      <c r="G14">
        <v>13</v>
      </c>
      <c r="H14">
        <v>110</v>
      </c>
    </row>
    <row r="15" spans="1:8" x14ac:dyDescent="0.25">
      <c r="A15">
        <v>14</v>
      </c>
      <c r="B15" t="s">
        <v>2453</v>
      </c>
      <c r="C15" t="s">
        <v>148</v>
      </c>
      <c r="D15">
        <v>333</v>
      </c>
      <c r="E15" t="s">
        <v>150</v>
      </c>
      <c r="F15">
        <v>1</v>
      </c>
      <c r="G15">
        <v>12</v>
      </c>
      <c r="H15">
        <v>52</v>
      </c>
    </row>
    <row r="16" spans="1:8" x14ac:dyDescent="0.25">
      <c r="A16">
        <v>15</v>
      </c>
      <c r="B16" t="s">
        <v>2451</v>
      </c>
      <c r="C16" t="s">
        <v>133</v>
      </c>
      <c r="D16" t="s">
        <v>2452</v>
      </c>
      <c r="E16" t="s">
        <v>77</v>
      </c>
      <c r="F16">
        <v>14</v>
      </c>
      <c r="G16">
        <v>14</v>
      </c>
      <c r="H16">
        <v>3</v>
      </c>
    </row>
    <row r="17" spans="1:8" x14ac:dyDescent="0.25">
      <c r="A17">
        <v>16</v>
      </c>
      <c r="B17" t="s">
        <v>4285</v>
      </c>
      <c r="C17" t="s">
        <v>159</v>
      </c>
      <c r="D17" t="s">
        <v>4286</v>
      </c>
      <c r="E17" t="s">
        <v>138</v>
      </c>
      <c r="F17">
        <v>16</v>
      </c>
      <c r="G17">
        <v>34</v>
      </c>
      <c r="H17">
        <v>2</v>
      </c>
    </row>
    <row r="18" spans="1:8" x14ac:dyDescent="0.25">
      <c r="A18">
        <v>17</v>
      </c>
      <c r="B18" t="s">
        <v>2460</v>
      </c>
      <c r="C18" t="s">
        <v>552</v>
      </c>
      <c r="D18" t="s">
        <v>2461</v>
      </c>
      <c r="E18" t="s">
        <v>12</v>
      </c>
      <c r="F18">
        <v>2</v>
      </c>
      <c r="G18">
        <v>17</v>
      </c>
      <c r="H18">
        <v>251</v>
      </c>
    </row>
    <row r="19" spans="1:8" x14ac:dyDescent="0.25">
      <c r="A19">
        <v>18</v>
      </c>
      <c r="B19" t="s">
        <v>2447</v>
      </c>
      <c r="C19" t="s">
        <v>46</v>
      </c>
      <c r="D19" t="s">
        <v>2448</v>
      </c>
      <c r="E19" t="s">
        <v>12</v>
      </c>
      <c r="F19">
        <v>2</v>
      </c>
      <c r="G19">
        <v>15</v>
      </c>
      <c r="H19">
        <v>15</v>
      </c>
    </row>
    <row r="20" spans="1:8" x14ac:dyDescent="0.25">
      <c r="A20">
        <v>19</v>
      </c>
      <c r="B20" t="s">
        <v>2458</v>
      </c>
      <c r="C20" t="s">
        <v>29</v>
      </c>
      <c r="D20" t="s">
        <v>2459</v>
      </c>
      <c r="E20" t="s">
        <v>31</v>
      </c>
      <c r="F20">
        <v>18</v>
      </c>
      <c r="G20">
        <v>22</v>
      </c>
      <c r="H20">
        <v>12</v>
      </c>
    </row>
    <row r="21" spans="1:8" x14ac:dyDescent="0.25">
      <c r="A21">
        <v>20</v>
      </c>
      <c r="B21" t="s">
        <v>2464</v>
      </c>
      <c r="C21" t="s">
        <v>535</v>
      </c>
      <c r="D21" t="s">
        <v>1080</v>
      </c>
      <c r="E21" t="s">
        <v>88</v>
      </c>
      <c r="F21">
        <v>2</v>
      </c>
      <c r="G21">
        <v>16</v>
      </c>
      <c r="H21">
        <v>17</v>
      </c>
    </row>
    <row r="22" spans="1:8" x14ac:dyDescent="0.25">
      <c r="A22">
        <v>21</v>
      </c>
      <c r="B22" t="s">
        <v>2462</v>
      </c>
      <c r="C22" t="s">
        <v>538</v>
      </c>
      <c r="D22" t="s">
        <v>2463</v>
      </c>
      <c r="E22" t="s">
        <v>12</v>
      </c>
      <c r="F22">
        <v>1</v>
      </c>
      <c r="G22">
        <v>20</v>
      </c>
      <c r="H22">
        <v>42</v>
      </c>
    </row>
    <row r="23" spans="1:8" x14ac:dyDescent="0.25">
      <c r="A23">
        <v>22</v>
      </c>
      <c r="B23" t="s">
        <v>2524</v>
      </c>
      <c r="C23" t="s">
        <v>170</v>
      </c>
      <c r="D23" t="s">
        <v>2525</v>
      </c>
      <c r="E23" t="s">
        <v>170</v>
      </c>
      <c r="F23">
        <v>11</v>
      </c>
      <c r="G23">
        <v>25</v>
      </c>
      <c r="H23">
        <v>14</v>
      </c>
    </row>
    <row r="24" spans="1:8" x14ac:dyDescent="0.25">
      <c r="A24">
        <v>23</v>
      </c>
      <c r="B24" t="s">
        <v>2467</v>
      </c>
      <c r="C24" t="s">
        <v>159</v>
      </c>
      <c r="D24" t="s">
        <v>1088</v>
      </c>
      <c r="E24" t="s">
        <v>138</v>
      </c>
      <c r="F24">
        <v>1</v>
      </c>
      <c r="G24">
        <v>30</v>
      </c>
      <c r="H24">
        <v>45</v>
      </c>
    </row>
    <row r="25" spans="1:8" x14ac:dyDescent="0.25">
      <c r="A25">
        <v>24</v>
      </c>
      <c r="B25" t="s">
        <v>2456</v>
      </c>
      <c r="C25" t="s">
        <v>671</v>
      </c>
      <c r="D25" t="s">
        <v>2457</v>
      </c>
      <c r="E25" t="s">
        <v>671</v>
      </c>
      <c r="F25">
        <v>2</v>
      </c>
      <c r="G25">
        <v>18</v>
      </c>
      <c r="H25">
        <v>7</v>
      </c>
    </row>
    <row r="26" spans="1:8" x14ac:dyDescent="0.25">
      <c r="A26">
        <v>25</v>
      </c>
      <c r="B26" t="s">
        <v>2468</v>
      </c>
      <c r="C26" t="s">
        <v>554</v>
      </c>
      <c r="D26" t="s">
        <v>2469</v>
      </c>
      <c r="E26" t="s">
        <v>98</v>
      </c>
      <c r="F26">
        <v>1</v>
      </c>
      <c r="G26">
        <v>23</v>
      </c>
      <c r="H26">
        <v>30</v>
      </c>
    </row>
    <row r="27" spans="1:8" x14ac:dyDescent="0.25">
      <c r="A27">
        <v>26</v>
      </c>
      <c r="B27" t="s">
        <v>2465</v>
      </c>
      <c r="C27" t="s">
        <v>458</v>
      </c>
      <c r="D27" t="s">
        <v>2466</v>
      </c>
      <c r="E27" t="s">
        <v>67</v>
      </c>
      <c r="F27">
        <v>3</v>
      </c>
      <c r="G27">
        <v>24</v>
      </c>
      <c r="H27">
        <v>26</v>
      </c>
    </row>
    <row r="28" spans="1:8" x14ac:dyDescent="0.25">
      <c r="A28">
        <v>27</v>
      </c>
      <c r="B28" t="s">
        <v>2470</v>
      </c>
      <c r="C28" t="s">
        <v>43</v>
      </c>
      <c r="D28" t="s">
        <v>2471</v>
      </c>
      <c r="E28" t="s">
        <v>31</v>
      </c>
      <c r="F28">
        <v>2</v>
      </c>
      <c r="G28">
        <v>21</v>
      </c>
      <c r="H28">
        <v>251</v>
      </c>
    </row>
    <row r="29" spans="1:8" x14ac:dyDescent="0.25">
      <c r="A29">
        <v>28</v>
      </c>
      <c r="B29" t="s">
        <v>2454</v>
      </c>
      <c r="C29" t="s">
        <v>580</v>
      </c>
      <c r="D29" t="s">
        <v>2455</v>
      </c>
      <c r="E29" t="s">
        <v>510</v>
      </c>
      <c r="F29">
        <v>2</v>
      </c>
      <c r="G29">
        <v>19</v>
      </c>
      <c r="H29">
        <v>28</v>
      </c>
    </row>
    <row r="30" spans="1:8" x14ac:dyDescent="0.25">
      <c r="A30">
        <v>29</v>
      </c>
      <c r="B30" t="s">
        <v>2472</v>
      </c>
      <c r="C30" t="s">
        <v>152</v>
      </c>
      <c r="D30" t="s">
        <v>2473</v>
      </c>
      <c r="E30" t="s">
        <v>12</v>
      </c>
      <c r="F30">
        <v>1</v>
      </c>
      <c r="G30">
        <v>27</v>
      </c>
      <c r="H30">
        <v>43</v>
      </c>
    </row>
    <row r="31" spans="1:8" x14ac:dyDescent="0.25">
      <c r="A31">
        <v>30</v>
      </c>
      <c r="B31" t="s">
        <v>2482</v>
      </c>
      <c r="C31" t="s">
        <v>43</v>
      </c>
      <c r="D31" t="s">
        <v>2483</v>
      </c>
      <c r="E31" t="s">
        <v>31</v>
      </c>
      <c r="F31">
        <v>19</v>
      </c>
      <c r="G31">
        <v>32</v>
      </c>
      <c r="H31">
        <v>251</v>
      </c>
    </row>
    <row r="32" spans="1:8" x14ac:dyDescent="0.25">
      <c r="A32">
        <v>31</v>
      </c>
      <c r="B32" t="s">
        <v>2017</v>
      </c>
      <c r="C32" t="s">
        <v>641</v>
      </c>
      <c r="D32" t="s">
        <v>2018</v>
      </c>
      <c r="E32" t="s">
        <v>232</v>
      </c>
      <c r="F32">
        <v>1</v>
      </c>
      <c r="G32">
        <v>41</v>
      </c>
      <c r="H32">
        <v>26</v>
      </c>
    </row>
    <row r="33" spans="1:8" x14ac:dyDescent="0.25">
      <c r="A33">
        <v>32</v>
      </c>
      <c r="B33" t="s">
        <v>1982</v>
      </c>
      <c r="C33" t="s">
        <v>1983</v>
      </c>
      <c r="D33" t="s">
        <v>1984</v>
      </c>
      <c r="E33" t="s">
        <v>275</v>
      </c>
      <c r="F33">
        <v>19</v>
      </c>
      <c r="G33">
        <v>28</v>
      </c>
      <c r="H33">
        <v>11</v>
      </c>
    </row>
    <row r="34" spans="1:8" x14ac:dyDescent="0.25">
      <c r="A34">
        <v>33</v>
      </c>
      <c r="B34" t="s">
        <v>2476</v>
      </c>
      <c r="C34" t="s">
        <v>415</v>
      </c>
      <c r="D34" t="s">
        <v>2477</v>
      </c>
      <c r="E34" t="s">
        <v>24</v>
      </c>
      <c r="F34">
        <v>26</v>
      </c>
      <c r="G34">
        <v>26</v>
      </c>
      <c r="H34">
        <v>9</v>
      </c>
    </row>
    <row r="35" spans="1:8" x14ac:dyDescent="0.25">
      <c r="A35">
        <v>34</v>
      </c>
      <c r="B35" t="s">
        <v>2480</v>
      </c>
      <c r="C35" t="s">
        <v>298</v>
      </c>
      <c r="D35" t="s">
        <v>2481</v>
      </c>
      <c r="E35" t="s">
        <v>67</v>
      </c>
      <c r="F35">
        <v>19</v>
      </c>
      <c r="G35">
        <v>33</v>
      </c>
      <c r="H35">
        <v>25</v>
      </c>
    </row>
    <row r="36" spans="1:8" x14ac:dyDescent="0.25">
      <c r="A36">
        <v>35</v>
      </c>
      <c r="B36" t="s">
        <v>2488</v>
      </c>
      <c r="C36" t="s">
        <v>36</v>
      </c>
      <c r="D36" t="s">
        <v>2489</v>
      </c>
      <c r="E36" t="s">
        <v>12</v>
      </c>
      <c r="F36">
        <v>12</v>
      </c>
      <c r="G36">
        <v>38</v>
      </c>
      <c r="H36">
        <v>34</v>
      </c>
    </row>
    <row r="37" spans="1:8" x14ac:dyDescent="0.25">
      <c r="A37">
        <v>36</v>
      </c>
      <c r="B37" t="s">
        <v>2478</v>
      </c>
      <c r="C37" t="s">
        <v>46</v>
      </c>
      <c r="D37" t="s">
        <v>2479</v>
      </c>
      <c r="E37" t="s">
        <v>12</v>
      </c>
      <c r="F37">
        <v>27</v>
      </c>
      <c r="G37">
        <v>35</v>
      </c>
      <c r="H37">
        <v>251</v>
      </c>
    </row>
    <row r="38" spans="1:8" x14ac:dyDescent="0.25">
      <c r="A38">
        <v>37</v>
      </c>
      <c r="B38" t="s">
        <v>2474</v>
      </c>
      <c r="C38" t="s">
        <v>133</v>
      </c>
      <c r="D38" t="s">
        <v>2475</v>
      </c>
      <c r="E38" t="s">
        <v>77</v>
      </c>
      <c r="F38">
        <v>18</v>
      </c>
      <c r="G38">
        <v>31</v>
      </c>
      <c r="H38">
        <v>11</v>
      </c>
    </row>
    <row r="39" spans="1:8" x14ac:dyDescent="0.25">
      <c r="A39">
        <v>38</v>
      </c>
      <c r="B39" t="s">
        <v>2486</v>
      </c>
      <c r="C39" t="s">
        <v>547</v>
      </c>
      <c r="D39" t="s">
        <v>2487</v>
      </c>
      <c r="E39" t="s">
        <v>228</v>
      </c>
      <c r="F39">
        <v>21</v>
      </c>
      <c r="G39">
        <v>37</v>
      </c>
      <c r="H39">
        <v>251</v>
      </c>
    </row>
    <row r="40" spans="1:8" x14ac:dyDescent="0.25">
      <c r="A40">
        <v>39</v>
      </c>
      <c r="B40" t="s">
        <v>2490</v>
      </c>
      <c r="C40" t="s">
        <v>557</v>
      </c>
      <c r="D40" t="s">
        <v>2491</v>
      </c>
      <c r="E40" t="s">
        <v>41</v>
      </c>
      <c r="F40">
        <v>25</v>
      </c>
      <c r="G40">
        <v>42</v>
      </c>
      <c r="H40">
        <v>31</v>
      </c>
    </row>
    <row r="41" spans="1:8" x14ac:dyDescent="0.25">
      <c r="A41">
        <v>40</v>
      </c>
      <c r="B41" t="s">
        <v>2494</v>
      </c>
      <c r="C41" t="s">
        <v>43</v>
      </c>
      <c r="D41" t="s">
        <v>2495</v>
      </c>
      <c r="E41" t="s">
        <v>31</v>
      </c>
      <c r="F41">
        <v>1</v>
      </c>
      <c r="G41">
        <v>40</v>
      </c>
      <c r="H41">
        <v>195</v>
      </c>
    </row>
    <row r="42" spans="1:8" x14ac:dyDescent="0.25">
      <c r="A42">
        <v>41</v>
      </c>
      <c r="B42" t="s">
        <v>4289</v>
      </c>
      <c r="C42" t="s">
        <v>871</v>
      </c>
      <c r="D42" t="s">
        <v>4290</v>
      </c>
      <c r="E42" t="s">
        <v>12</v>
      </c>
      <c r="F42">
        <v>41</v>
      </c>
      <c r="G42">
        <v>44</v>
      </c>
      <c r="H42">
        <v>2</v>
      </c>
    </row>
    <row r="43" spans="1:8" x14ac:dyDescent="0.25">
      <c r="A43">
        <v>42</v>
      </c>
      <c r="B43" t="s">
        <v>2484</v>
      </c>
      <c r="C43" t="s">
        <v>316</v>
      </c>
      <c r="D43" t="s">
        <v>2485</v>
      </c>
      <c r="E43" t="s">
        <v>88</v>
      </c>
      <c r="F43">
        <v>29</v>
      </c>
      <c r="G43">
        <v>29</v>
      </c>
      <c r="H43">
        <v>246</v>
      </c>
    </row>
    <row r="44" spans="1:8" x14ac:dyDescent="0.25">
      <c r="A44">
        <v>43</v>
      </c>
      <c r="B44" t="s">
        <v>2511</v>
      </c>
      <c r="C44" t="s">
        <v>43</v>
      </c>
      <c r="D44" t="s">
        <v>2512</v>
      </c>
      <c r="E44" t="s">
        <v>31</v>
      </c>
      <c r="F44">
        <v>35</v>
      </c>
      <c r="G44">
        <v>58</v>
      </c>
      <c r="H44">
        <v>220</v>
      </c>
    </row>
    <row r="45" spans="1:8" x14ac:dyDescent="0.25">
      <c r="A45">
        <v>44</v>
      </c>
      <c r="B45" t="s">
        <v>2521</v>
      </c>
      <c r="C45" t="s">
        <v>152</v>
      </c>
      <c r="D45" t="s">
        <v>2522</v>
      </c>
      <c r="E45" t="s">
        <v>12</v>
      </c>
      <c r="F45">
        <v>41</v>
      </c>
      <c r="G45">
        <v>52</v>
      </c>
      <c r="H45">
        <v>174</v>
      </c>
    </row>
    <row r="46" spans="1:8" x14ac:dyDescent="0.25">
      <c r="A46">
        <v>45</v>
      </c>
      <c r="B46" t="s">
        <v>2496</v>
      </c>
      <c r="C46" t="s">
        <v>582</v>
      </c>
      <c r="D46" t="s">
        <v>2497</v>
      </c>
      <c r="E46" t="s">
        <v>263</v>
      </c>
      <c r="F46">
        <v>1</v>
      </c>
      <c r="G46">
        <v>46</v>
      </c>
      <c r="H46">
        <v>32</v>
      </c>
    </row>
    <row r="47" spans="1:8" x14ac:dyDescent="0.25">
      <c r="A47">
        <v>46</v>
      </c>
      <c r="B47" t="s">
        <v>2500</v>
      </c>
      <c r="C47" t="s">
        <v>584</v>
      </c>
      <c r="D47" t="s">
        <v>2501</v>
      </c>
      <c r="E47" t="s">
        <v>24</v>
      </c>
      <c r="F47">
        <v>6</v>
      </c>
      <c r="G47">
        <v>45</v>
      </c>
      <c r="H47">
        <v>103</v>
      </c>
    </row>
    <row r="48" spans="1:8" x14ac:dyDescent="0.25">
      <c r="A48">
        <v>47</v>
      </c>
      <c r="B48" t="s">
        <v>2492</v>
      </c>
      <c r="C48" t="s">
        <v>29</v>
      </c>
      <c r="D48" t="s">
        <v>2493</v>
      </c>
      <c r="E48" t="s">
        <v>31</v>
      </c>
      <c r="F48">
        <v>6</v>
      </c>
      <c r="G48">
        <v>49</v>
      </c>
      <c r="H48">
        <v>70</v>
      </c>
    </row>
    <row r="49" spans="1:8" x14ac:dyDescent="0.25">
      <c r="A49">
        <v>48</v>
      </c>
      <c r="B49" t="s">
        <v>2498</v>
      </c>
      <c r="C49" t="s">
        <v>616</v>
      </c>
      <c r="D49" t="s">
        <v>2499</v>
      </c>
      <c r="E49" t="s">
        <v>67</v>
      </c>
      <c r="F49">
        <v>19</v>
      </c>
      <c r="G49">
        <v>43</v>
      </c>
      <c r="H49">
        <v>14</v>
      </c>
    </row>
    <row r="50" spans="1:8" x14ac:dyDescent="0.25">
      <c r="A50">
        <v>49</v>
      </c>
      <c r="B50" t="s">
        <v>2519</v>
      </c>
      <c r="C50" t="s">
        <v>152</v>
      </c>
      <c r="D50" t="s">
        <v>2520</v>
      </c>
      <c r="E50" t="s">
        <v>12</v>
      </c>
      <c r="F50">
        <v>22</v>
      </c>
      <c r="G50">
        <v>51</v>
      </c>
      <c r="H50">
        <v>251</v>
      </c>
    </row>
    <row r="51" spans="1:8" x14ac:dyDescent="0.25">
      <c r="A51">
        <v>50</v>
      </c>
      <c r="B51" t="s">
        <v>2502</v>
      </c>
      <c r="C51" t="s">
        <v>2503</v>
      </c>
      <c r="D51" t="s">
        <v>2504</v>
      </c>
      <c r="E51" t="s">
        <v>263</v>
      </c>
      <c r="F51">
        <v>13</v>
      </c>
      <c r="G51">
        <v>48</v>
      </c>
      <c r="H51">
        <v>147</v>
      </c>
    </row>
    <row r="52" spans="1:8" x14ac:dyDescent="0.25">
      <c r="A52">
        <v>51</v>
      </c>
      <c r="B52" t="s">
        <v>2505</v>
      </c>
      <c r="C52" t="s">
        <v>557</v>
      </c>
      <c r="D52" t="s">
        <v>2506</v>
      </c>
      <c r="E52" t="s">
        <v>41</v>
      </c>
      <c r="F52">
        <v>38</v>
      </c>
      <c r="G52">
        <v>63</v>
      </c>
      <c r="H52">
        <v>30</v>
      </c>
    </row>
    <row r="53" spans="1:8" x14ac:dyDescent="0.25">
      <c r="A53">
        <v>52</v>
      </c>
      <c r="B53" t="s">
        <v>2509</v>
      </c>
      <c r="C53" t="s">
        <v>46</v>
      </c>
      <c r="D53" t="s">
        <v>2510</v>
      </c>
      <c r="E53" t="s">
        <v>12</v>
      </c>
      <c r="F53">
        <v>12</v>
      </c>
      <c r="G53">
        <v>50</v>
      </c>
      <c r="H53">
        <v>38</v>
      </c>
    </row>
    <row r="54" spans="1:8" x14ac:dyDescent="0.25">
      <c r="A54">
        <v>53</v>
      </c>
      <c r="B54" t="s">
        <v>2530</v>
      </c>
      <c r="C54" t="s">
        <v>603</v>
      </c>
      <c r="D54" t="s">
        <v>2531</v>
      </c>
      <c r="E54" t="s">
        <v>199</v>
      </c>
      <c r="F54">
        <v>2</v>
      </c>
      <c r="G54">
        <v>57</v>
      </c>
      <c r="H54">
        <v>39</v>
      </c>
    </row>
    <row r="55" spans="1:8" x14ac:dyDescent="0.25">
      <c r="A55">
        <v>54</v>
      </c>
      <c r="B55" t="s">
        <v>2523</v>
      </c>
      <c r="C55" t="s">
        <v>148</v>
      </c>
      <c r="D55" t="s">
        <v>472</v>
      </c>
      <c r="E55" t="s">
        <v>24</v>
      </c>
      <c r="F55">
        <v>5</v>
      </c>
      <c r="G55">
        <v>53</v>
      </c>
      <c r="H55">
        <v>251</v>
      </c>
    </row>
    <row r="56" spans="1:8" x14ac:dyDescent="0.25">
      <c r="A56">
        <v>55</v>
      </c>
      <c r="B56" t="s">
        <v>2019</v>
      </c>
      <c r="C56" t="s">
        <v>495</v>
      </c>
      <c r="D56" t="s">
        <v>2020</v>
      </c>
      <c r="E56" t="s">
        <v>1214</v>
      </c>
      <c r="F56">
        <v>22</v>
      </c>
      <c r="G56">
        <v>60</v>
      </c>
      <c r="H56">
        <v>251</v>
      </c>
    </row>
    <row r="57" spans="1:8" x14ac:dyDescent="0.25">
      <c r="A57">
        <v>56</v>
      </c>
      <c r="B57" t="s">
        <v>2546</v>
      </c>
      <c r="C57" t="s">
        <v>780</v>
      </c>
      <c r="D57" t="s">
        <v>2547</v>
      </c>
      <c r="E57" t="s">
        <v>105</v>
      </c>
      <c r="F57">
        <v>51</v>
      </c>
      <c r="G57">
        <v>68</v>
      </c>
      <c r="H57">
        <v>83</v>
      </c>
    </row>
    <row r="58" spans="1:8" x14ac:dyDescent="0.25">
      <c r="A58">
        <v>57</v>
      </c>
      <c r="B58" t="s">
        <v>2513</v>
      </c>
      <c r="C58" t="s">
        <v>22</v>
      </c>
      <c r="D58" t="s">
        <v>2514</v>
      </c>
      <c r="E58" t="s">
        <v>24</v>
      </c>
      <c r="F58">
        <v>15</v>
      </c>
      <c r="G58">
        <v>54</v>
      </c>
      <c r="H58">
        <v>66</v>
      </c>
    </row>
    <row r="59" spans="1:8" x14ac:dyDescent="0.25">
      <c r="A59">
        <v>58</v>
      </c>
      <c r="B59" t="s">
        <v>2566</v>
      </c>
      <c r="C59" t="s">
        <v>33</v>
      </c>
      <c r="D59" t="s">
        <v>2567</v>
      </c>
      <c r="E59" t="s">
        <v>12</v>
      </c>
      <c r="F59">
        <v>9</v>
      </c>
      <c r="G59">
        <v>61</v>
      </c>
      <c r="H59">
        <v>137</v>
      </c>
    </row>
    <row r="60" spans="1:8" x14ac:dyDescent="0.25">
      <c r="A60">
        <v>59</v>
      </c>
      <c r="B60" t="s">
        <v>1987</v>
      </c>
      <c r="C60" t="s">
        <v>107</v>
      </c>
      <c r="D60" t="s">
        <v>1988</v>
      </c>
      <c r="E60" t="s">
        <v>109</v>
      </c>
      <c r="F60">
        <v>39</v>
      </c>
      <c r="G60">
        <v>56</v>
      </c>
      <c r="H60">
        <v>16</v>
      </c>
    </row>
    <row r="61" spans="1:8" x14ac:dyDescent="0.25">
      <c r="A61">
        <v>60</v>
      </c>
      <c r="B61" t="s">
        <v>1999</v>
      </c>
      <c r="C61" t="s">
        <v>496</v>
      </c>
      <c r="D61" t="s">
        <v>2000</v>
      </c>
      <c r="E61" t="s">
        <v>1133</v>
      </c>
      <c r="F61">
        <v>3</v>
      </c>
      <c r="G61">
        <v>75</v>
      </c>
      <c r="H61">
        <v>54</v>
      </c>
    </row>
    <row r="62" spans="1:8" x14ac:dyDescent="0.25">
      <c r="A62">
        <v>61</v>
      </c>
      <c r="B62" t="s">
        <v>2528</v>
      </c>
      <c r="C62" t="s">
        <v>626</v>
      </c>
      <c r="D62" t="s">
        <v>2529</v>
      </c>
      <c r="E62" t="s">
        <v>24</v>
      </c>
      <c r="F62">
        <v>1</v>
      </c>
      <c r="G62">
        <v>59</v>
      </c>
      <c r="H62">
        <v>106</v>
      </c>
    </row>
    <row r="63" spans="1:8" x14ac:dyDescent="0.25">
      <c r="A63">
        <v>62</v>
      </c>
      <c r="B63" t="s">
        <v>2536</v>
      </c>
      <c r="C63" t="s">
        <v>607</v>
      </c>
      <c r="D63" t="s">
        <v>2537</v>
      </c>
      <c r="E63" t="s">
        <v>1379</v>
      </c>
      <c r="F63">
        <v>42</v>
      </c>
      <c r="G63">
        <v>64</v>
      </c>
      <c r="H63">
        <v>251</v>
      </c>
    </row>
    <row r="64" spans="1:8" x14ac:dyDescent="0.25">
      <c r="A64">
        <v>63</v>
      </c>
      <c r="B64" t="s">
        <v>2515</v>
      </c>
      <c r="C64" t="s">
        <v>2516</v>
      </c>
      <c r="D64" t="s">
        <v>2517</v>
      </c>
      <c r="E64" t="s">
        <v>2518</v>
      </c>
      <c r="F64">
        <v>27</v>
      </c>
      <c r="G64">
        <v>47</v>
      </c>
      <c r="H64">
        <v>20</v>
      </c>
    </row>
    <row r="65" spans="1:8" x14ac:dyDescent="0.25">
      <c r="A65">
        <v>64</v>
      </c>
      <c r="B65" t="s">
        <v>2538</v>
      </c>
      <c r="C65" t="s">
        <v>298</v>
      </c>
      <c r="D65" t="s">
        <v>2539</v>
      </c>
      <c r="E65" t="s">
        <v>67</v>
      </c>
      <c r="F65">
        <v>36</v>
      </c>
      <c r="G65">
        <v>77</v>
      </c>
      <c r="H65">
        <v>149</v>
      </c>
    </row>
    <row r="66" spans="1:8" x14ac:dyDescent="0.25">
      <c r="A66">
        <v>65</v>
      </c>
      <c r="B66" t="s">
        <v>2534</v>
      </c>
      <c r="C66" t="s">
        <v>605</v>
      </c>
      <c r="D66" t="s">
        <v>2535</v>
      </c>
      <c r="E66" t="s">
        <v>1062</v>
      </c>
      <c r="F66">
        <v>1</v>
      </c>
      <c r="G66">
        <v>55</v>
      </c>
      <c r="H66">
        <v>81</v>
      </c>
    </row>
    <row r="67" spans="1:8" x14ac:dyDescent="0.25">
      <c r="A67">
        <v>66</v>
      </c>
      <c r="B67" t="s">
        <v>2095</v>
      </c>
      <c r="C67" t="s">
        <v>329</v>
      </c>
      <c r="D67" t="s">
        <v>2096</v>
      </c>
      <c r="E67" t="s">
        <v>268</v>
      </c>
      <c r="F67">
        <v>39</v>
      </c>
      <c r="G67">
        <v>69</v>
      </c>
      <c r="H67">
        <v>251</v>
      </c>
    </row>
    <row r="68" spans="1:8" x14ac:dyDescent="0.25">
      <c r="A68">
        <v>67</v>
      </c>
      <c r="B68" t="s">
        <v>2544</v>
      </c>
      <c r="C68" t="s">
        <v>43</v>
      </c>
      <c r="D68" t="s">
        <v>2545</v>
      </c>
      <c r="E68" t="s">
        <v>31</v>
      </c>
      <c r="F68">
        <v>30</v>
      </c>
      <c r="G68">
        <v>65</v>
      </c>
      <c r="H68">
        <v>251</v>
      </c>
    </row>
    <row r="69" spans="1:8" x14ac:dyDescent="0.25">
      <c r="A69">
        <v>68</v>
      </c>
      <c r="B69" t="s">
        <v>2558</v>
      </c>
      <c r="C69" t="s">
        <v>788</v>
      </c>
      <c r="D69" t="s">
        <v>2559</v>
      </c>
      <c r="E69" t="s">
        <v>24</v>
      </c>
      <c r="F69">
        <v>3</v>
      </c>
      <c r="G69">
        <v>66</v>
      </c>
      <c r="H69">
        <v>23</v>
      </c>
    </row>
    <row r="70" spans="1:8" x14ac:dyDescent="0.25">
      <c r="A70">
        <v>69</v>
      </c>
      <c r="B70" t="s">
        <v>2560</v>
      </c>
      <c r="C70" t="s">
        <v>609</v>
      </c>
      <c r="D70" t="s">
        <v>2561</v>
      </c>
      <c r="E70" t="s">
        <v>150</v>
      </c>
      <c r="F70">
        <v>6</v>
      </c>
      <c r="G70">
        <v>78</v>
      </c>
      <c r="H70">
        <v>61</v>
      </c>
    </row>
    <row r="71" spans="1:8" x14ac:dyDescent="0.25">
      <c r="A71">
        <v>70</v>
      </c>
      <c r="B71" t="s">
        <v>2099</v>
      </c>
      <c r="C71" t="s">
        <v>329</v>
      </c>
      <c r="D71" t="s">
        <v>2100</v>
      </c>
      <c r="E71" t="s">
        <v>268</v>
      </c>
      <c r="F71">
        <v>28</v>
      </c>
      <c r="G71">
        <v>79</v>
      </c>
      <c r="H71">
        <v>245</v>
      </c>
    </row>
    <row r="72" spans="1:8" x14ac:dyDescent="0.25">
      <c r="A72">
        <v>71</v>
      </c>
      <c r="B72" t="s">
        <v>2552</v>
      </c>
      <c r="C72" t="s">
        <v>46</v>
      </c>
      <c r="D72" t="s">
        <v>2553</v>
      </c>
      <c r="E72" t="s">
        <v>12</v>
      </c>
      <c r="F72">
        <v>1</v>
      </c>
      <c r="G72">
        <v>67</v>
      </c>
      <c r="H72">
        <v>43</v>
      </c>
    </row>
    <row r="73" spans="1:8" x14ac:dyDescent="0.25">
      <c r="A73">
        <v>72</v>
      </c>
      <c r="B73" t="s">
        <v>2507</v>
      </c>
      <c r="C73" t="s">
        <v>100</v>
      </c>
      <c r="D73" t="s">
        <v>2508</v>
      </c>
      <c r="E73" t="s">
        <v>88</v>
      </c>
      <c r="F73">
        <v>17</v>
      </c>
      <c r="G73">
        <v>80</v>
      </c>
      <c r="H73">
        <v>30</v>
      </c>
    </row>
    <row r="74" spans="1:8" x14ac:dyDescent="0.25">
      <c r="A74">
        <v>73</v>
      </c>
      <c r="B74" t="s">
        <v>1993</v>
      </c>
      <c r="C74" t="s">
        <v>481</v>
      </c>
      <c r="D74" t="s">
        <v>1994</v>
      </c>
      <c r="E74" t="s">
        <v>1120</v>
      </c>
      <c r="F74">
        <v>1</v>
      </c>
      <c r="G74">
        <v>76</v>
      </c>
      <c r="H74">
        <v>68</v>
      </c>
    </row>
    <row r="75" spans="1:8" x14ac:dyDescent="0.25">
      <c r="A75">
        <v>74</v>
      </c>
      <c r="B75" t="s">
        <v>2550</v>
      </c>
      <c r="C75" t="s">
        <v>298</v>
      </c>
      <c r="D75" t="s">
        <v>2551</v>
      </c>
      <c r="E75" t="s">
        <v>67</v>
      </c>
      <c r="F75">
        <v>54</v>
      </c>
      <c r="G75">
        <v>81</v>
      </c>
      <c r="H75">
        <v>238</v>
      </c>
    </row>
    <row r="76" spans="1:8" x14ac:dyDescent="0.25">
      <c r="A76">
        <v>75</v>
      </c>
      <c r="B76" t="s">
        <v>2542</v>
      </c>
      <c r="C76" t="s">
        <v>597</v>
      </c>
      <c r="D76" t="s">
        <v>2543</v>
      </c>
      <c r="E76" t="s">
        <v>393</v>
      </c>
      <c r="F76">
        <v>9</v>
      </c>
      <c r="G76">
        <v>82</v>
      </c>
      <c r="H76">
        <v>52</v>
      </c>
    </row>
    <row r="77" spans="1:8" x14ac:dyDescent="0.25">
      <c r="A77">
        <v>76</v>
      </c>
      <c r="B77" t="s">
        <v>2526</v>
      </c>
      <c r="C77" t="s">
        <v>69</v>
      </c>
      <c r="D77" t="s">
        <v>2527</v>
      </c>
      <c r="E77" t="s">
        <v>67</v>
      </c>
      <c r="F77">
        <v>3</v>
      </c>
      <c r="G77">
        <v>70</v>
      </c>
      <c r="H77">
        <v>60</v>
      </c>
    </row>
    <row r="78" spans="1:8" x14ac:dyDescent="0.25">
      <c r="A78">
        <v>77</v>
      </c>
      <c r="B78" t="s">
        <v>2554</v>
      </c>
      <c r="C78" t="s">
        <v>298</v>
      </c>
      <c r="D78" t="s">
        <v>2555</v>
      </c>
      <c r="E78" t="s">
        <v>67</v>
      </c>
      <c r="F78">
        <v>46</v>
      </c>
      <c r="G78">
        <v>74</v>
      </c>
      <c r="H78">
        <v>124</v>
      </c>
    </row>
    <row r="79" spans="1:8" x14ac:dyDescent="0.25">
      <c r="A79">
        <v>78</v>
      </c>
      <c r="B79" t="s">
        <v>2532</v>
      </c>
      <c r="C79" t="s">
        <v>316</v>
      </c>
      <c r="D79" t="s">
        <v>2533</v>
      </c>
      <c r="E79" t="s">
        <v>88</v>
      </c>
      <c r="F79">
        <v>20</v>
      </c>
      <c r="G79">
        <v>62</v>
      </c>
      <c r="H79">
        <v>72</v>
      </c>
    </row>
    <row r="80" spans="1:8" x14ac:dyDescent="0.25">
      <c r="A80">
        <v>79</v>
      </c>
      <c r="B80" t="s">
        <v>2604</v>
      </c>
      <c r="C80" t="s">
        <v>152</v>
      </c>
      <c r="D80" t="s">
        <v>2605</v>
      </c>
      <c r="E80" t="s">
        <v>12</v>
      </c>
      <c r="F80">
        <v>73</v>
      </c>
      <c r="G80">
        <v>89</v>
      </c>
      <c r="H80">
        <v>121</v>
      </c>
    </row>
    <row r="81" spans="1:8" x14ac:dyDescent="0.25">
      <c r="A81">
        <v>80</v>
      </c>
      <c r="B81" t="s">
        <v>2556</v>
      </c>
      <c r="C81" t="s">
        <v>152</v>
      </c>
      <c r="D81" t="s">
        <v>2557</v>
      </c>
      <c r="E81" t="s">
        <v>12</v>
      </c>
      <c r="F81">
        <v>33</v>
      </c>
      <c r="G81">
        <v>73</v>
      </c>
      <c r="H81">
        <v>251</v>
      </c>
    </row>
    <row r="82" spans="1:8" x14ac:dyDescent="0.25">
      <c r="A82">
        <v>81</v>
      </c>
      <c r="B82" t="s">
        <v>2579</v>
      </c>
      <c r="C82" t="s">
        <v>129</v>
      </c>
      <c r="D82" t="s">
        <v>2580</v>
      </c>
      <c r="E82" t="s">
        <v>131</v>
      </c>
      <c r="F82">
        <v>81</v>
      </c>
      <c r="G82">
        <v>85</v>
      </c>
      <c r="H82">
        <v>32</v>
      </c>
    </row>
    <row r="83" spans="1:8" x14ac:dyDescent="0.25">
      <c r="A83">
        <v>82</v>
      </c>
      <c r="B83" t="s">
        <v>2571</v>
      </c>
      <c r="C83" t="s">
        <v>22</v>
      </c>
      <c r="D83" t="s">
        <v>2572</v>
      </c>
      <c r="E83" t="s">
        <v>24</v>
      </c>
      <c r="F83">
        <v>5</v>
      </c>
      <c r="G83">
        <v>72</v>
      </c>
      <c r="H83">
        <v>97</v>
      </c>
    </row>
    <row r="84" spans="1:8" x14ac:dyDescent="0.25">
      <c r="A84">
        <v>83</v>
      </c>
      <c r="B84" t="s">
        <v>2562</v>
      </c>
      <c r="C84" t="s">
        <v>693</v>
      </c>
      <c r="D84" t="s">
        <v>2563</v>
      </c>
      <c r="E84" t="s">
        <v>24</v>
      </c>
      <c r="F84">
        <v>54</v>
      </c>
      <c r="G84">
        <v>71</v>
      </c>
      <c r="H84">
        <v>99</v>
      </c>
    </row>
    <row r="85" spans="1:8" x14ac:dyDescent="0.25">
      <c r="A85">
        <v>84</v>
      </c>
      <c r="B85" t="s">
        <v>2642</v>
      </c>
      <c r="C85" t="s">
        <v>864</v>
      </c>
      <c r="D85" t="s">
        <v>2643</v>
      </c>
      <c r="E85" t="s">
        <v>2420</v>
      </c>
      <c r="F85">
        <v>84</v>
      </c>
      <c r="G85">
        <v>145</v>
      </c>
      <c r="H85">
        <v>3</v>
      </c>
    </row>
    <row r="86" spans="1:8" x14ac:dyDescent="0.25">
      <c r="A86">
        <v>85</v>
      </c>
      <c r="B86" t="s">
        <v>2568</v>
      </c>
      <c r="C86" t="s">
        <v>586</v>
      </c>
      <c r="D86" t="s">
        <v>2569</v>
      </c>
      <c r="E86" t="s">
        <v>2570</v>
      </c>
      <c r="F86">
        <v>81</v>
      </c>
      <c r="G86">
        <v>88</v>
      </c>
      <c r="H86">
        <v>128</v>
      </c>
    </row>
    <row r="87" spans="1:8" x14ac:dyDescent="0.25">
      <c r="A87">
        <v>86</v>
      </c>
      <c r="B87" t="s">
        <v>2564</v>
      </c>
      <c r="C87" t="s">
        <v>46</v>
      </c>
      <c r="D87" t="s">
        <v>2565</v>
      </c>
      <c r="E87" t="s">
        <v>12</v>
      </c>
      <c r="F87">
        <v>9</v>
      </c>
      <c r="G87">
        <v>83</v>
      </c>
      <c r="H87">
        <v>53</v>
      </c>
    </row>
    <row r="88" spans="1:8" x14ac:dyDescent="0.25">
      <c r="A88">
        <v>87</v>
      </c>
      <c r="B88" t="s">
        <v>2575</v>
      </c>
      <c r="C88" t="s">
        <v>46</v>
      </c>
      <c r="D88" t="s">
        <v>2576</v>
      </c>
      <c r="E88" t="s">
        <v>12</v>
      </c>
      <c r="F88">
        <v>1</v>
      </c>
      <c r="G88">
        <v>86</v>
      </c>
      <c r="H88">
        <v>115</v>
      </c>
    </row>
    <row r="89" spans="1:8" x14ac:dyDescent="0.25">
      <c r="A89">
        <v>88</v>
      </c>
      <c r="B89" t="s">
        <v>2598</v>
      </c>
      <c r="C89" t="s">
        <v>547</v>
      </c>
      <c r="D89" t="s">
        <v>2599</v>
      </c>
      <c r="E89" t="s">
        <v>228</v>
      </c>
      <c r="F89">
        <v>14</v>
      </c>
      <c r="G89">
        <v>92</v>
      </c>
      <c r="H89">
        <v>82</v>
      </c>
    </row>
    <row r="90" spans="1:8" x14ac:dyDescent="0.25">
      <c r="A90">
        <v>89</v>
      </c>
      <c r="B90" t="s">
        <v>2548</v>
      </c>
      <c r="C90" t="s">
        <v>561</v>
      </c>
      <c r="D90" t="s">
        <v>2549</v>
      </c>
      <c r="E90" t="s">
        <v>561</v>
      </c>
      <c r="F90">
        <v>57</v>
      </c>
      <c r="G90">
        <v>90</v>
      </c>
      <c r="H90">
        <v>9</v>
      </c>
    </row>
    <row r="91" spans="1:8" x14ac:dyDescent="0.25">
      <c r="A91">
        <v>90</v>
      </c>
      <c r="B91" t="s">
        <v>4250</v>
      </c>
      <c r="C91" t="s">
        <v>266</v>
      </c>
      <c r="D91" t="s">
        <v>4251</v>
      </c>
      <c r="E91" t="s">
        <v>268</v>
      </c>
      <c r="F91">
        <v>90</v>
      </c>
      <c r="G91">
        <v>91</v>
      </c>
      <c r="H91">
        <v>2</v>
      </c>
    </row>
    <row r="92" spans="1:8" x14ac:dyDescent="0.25">
      <c r="A92">
        <v>91</v>
      </c>
      <c r="B92" t="s">
        <v>2594</v>
      </c>
      <c r="C92" t="s">
        <v>538</v>
      </c>
      <c r="D92" t="s">
        <v>2595</v>
      </c>
      <c r="E92" t="s">
        <v>12</v>
      </c>
      <c r="F92">
        <v>4</v>
      </c>
      <c r="G92">
        <v>95</v>
      </c>
      <c r="H92">
        <v>227</v>
      </c>
    </row>
    <row r="93" spans="1:8" x14ac:dyDescent="0.25">
      <c r="A93">
        <v>92</v>
      </c>
      <c r="B93" t="s">
        <v>2026</v>
      </c>
      <c r="C93" t="s">
        <v>381</v>
      </c>
      <c r="D93" t="s">
        <v>2027</v>
      </c>
      <c r="E93" t="s">
        <v>268</v>
      </c>
      <c r="F93">
        <v>42</v>
      </c>
      <c r="G93">
        <v>93</v>
      </c>
      <c r="H93">
        <v>80</v>
      </c>
    </row>
    <row r="94" spans="1:8" x14ac:dyDescent="0.25">
      <c r="A94">
        <v>93</v>
      </c>
      <c r="B94" t="s">
        <v>2573</v>
      </c>
      <c r="C94" t="s">
        <v>547</v>
      </c>
      <c r="D94" t="s">
        <v>2574</v>
      </c>
      <c r="E94" t="s">
        <v>228</v>
      </c>
      <c r="F94">
        <v>5</v>
      </c>
      <c r="G94">
        <v>96</v>
      </c>
      <c r="H94">
        <v>12</v>
      </c>
    </row>
    <row r="95" spans="1:8" x14ac:dyDescent="0.25">
      <c r="A95">
        <v>94</v>
      </c>
      <c r="B95" t="s">
        <v>2319</v>
      </c>
      <c r="C95" t="s">
        <v>818</v>
      </c>
      <c r="D95" t="s">
        <v>2320</v>
      </c>
      <c r="E95" t="s">
        <v>2321</v>
      </c>
      <c r="F95">
        <v>18</v>
      </c>
      <c r="G95">
        <v>97</v>
      </c>
      <c r="H95">
        <v>179</v>
      </c>
    </row>
    <row r="96" spans="1:8" x14ac:dyDescent="0.25">
      <c r="A96">
        <v>95</v>
      </c>
      <c r="B96" t="s">
        <v>2003</v>
      </c>
      <c r="C96" t="s">
        <v>107</v>
      </c>
      <c r="D96" t="s">
        <v>2004</v>
      </c>
      <c r="E96" t="s">
        <v>109</v>
      </c>
      <c r="F96">
        <v>80</v>
      </c>
      <c r="G96">
        <v>87</v>
      </c>
      <c r="H96">
        <v>10</v>
      </c>
    </row>
    <row r="97" spans="1:8" x14ac:dyDescent="0.25">
      <c r="A97">
        <v>96</v>
      </c>
      <c r="B97" t="s">
        <v>2086</v>
      </c>
      <c r="C97" t="s">
        <v>725</v>
      </c>
      <c r="D97" t="s">
        <v>2087</v>
      </c>
      <c r="E97" t="s">
        <v>303</v>
      </c>
      <c r="F97">
        <v>2</v>
      </c>
      <c r="G97">
        <v>102</v>
      </c>
      <c r="H97">
        <v>169</v>
      </c>
    </row>
    <row r="98" spans="1:8" x14ac:dyDescent="0.25">
      <c r="A98">
        <v>97</v>
      </c>
      <c r="B98" t="s">
        <v>2540</v>
      </c>
      <c r="C98" t="s">
        <v>597</v>
      </c>
      <c r="D98" t="s">
        <v>2541</v>
      </c>
      <c r="E98" t="s">
        <v>393</v>
      </c>
      <c r="F98">
        <v>2</v>
      </c>
      <c r="G98">
        <v>84</v>
      </c>
      <c r="H98">
        <v>26</v>
      </c>
    </row>
    <row r="99" spans="1:8" x14ac:dyDescent="0.25">
      <c r="A99">
        <v>98</v>
      </c>
      <c r="B99" t="s">
        <v>2600</v>
      </c>
      <c r="C99" t="s">
        <v>46</v>
      </c>
      <c r="D99" t="s">
        <v>2601</v>
      </c>
      <c r="E99" t="s">
        <v>12</v>
      </c>
      <c r="F99">
        <v>52</v>
      </c>
      <c r="G99">
        <v>100</v>
      </c>
      <c r="H99">
        <v>139</v>
      </c>
    </row>
    <row r="100" spans="1:8" x14ac:dyDescent="0.25">
      <c r="A100">
        <v>99</v>
      </c>
      <c r="B100" t="s">
        <v>2031</v>
      </c>
      <c r="C100" t="s">
        <v>641</v>
      </c>
      <c r="D100" t="s">
        <v>2032</v>
      </c>
      <c r="E100" t="s">
        <v>1311</v>
      </c>
      <c r="F100">
        <v>3</v>
      </c>
      <c r="G100">
        <v>99</v>
      </c>
      <c r="H100">
        <v>251</v>
      </c>
    </row>
    <row r="101" spans="1:8" x14ac:dyDescent="0.25">
      <c r="A101">
        <v>100</v>
      </c>
      <c r="B101" t="s">
        <v>2586</v>
      </c>
      <c r="C101" t="s">
        <v>2587</v>
      </c>
      <c r="D101" t="s">
        <v>2587</v>
      </c>
      <c r="E101" t="s">
        <v>2588</v>
      </c>
      <c r="F101">
        <v>39</v>
      </c>
      <c r="G101">
        <v>101</v>
      </c>
      <c r="H101">
        <v>200</v>
      </c>
    </row>
    <row r="102" spans="1:8" x14ac:dyDescent="0.25">
      <c r="A102">
        <v>101</v>
      </c>
      <c r="B102" t="s">
        <v>4287</v>
      </c>
      <c r="C102" t="s">
        <v>614</v>
      </c>
      <c r="D102" t="s">
        <v>4288</v>
      </c>
      <c r="E102" t="s">
        <v>88</v>
      </c>
      <c r="F102">
        <v>39</v>
      </c>
      <c r="G102">
        <v>39</v>
      </c>
      <c r="H102">
        <v>2</v>
      </c>
    </row>
    <row r="103" spans="1:8" x14ac:dyDescent="0.25">
      <c r="A103">
        <v>102</v>
      </c>
      <c r="B103" t="s">
        <v>2577</v>
      </c>
      <c r="C103" t="s">
        <v>58</v>
      </c>
      <c r="D103" t="s">
        <v>2578</v>
      </c>
      <c r="E103" t="s">
        <v>60</v>
      </c>
      <c r="F103">
        <v>3</v>
      </c>
      <c r="G103">
        <v>94</v>
      </c>
      <c r="H103">
        <v>146</v>
      </c>
    </row>
    <row r="104" spans="1:8" x14ac:dyDescent="0.25">
      <c r="A104">
        <v>103</v>
      </c>
      <c r="B104" t="s">
        <v>2581</v>
      </c>
      <c r="C104" t="s">
        <v>671</v>
      </c>
      <c r="D104" t="s">
        <v>2582</v>
      </c>
      <c r="E104" t="s">
        <v>2583</v>
      </c>
      <c r="F104">
        <v>33</v>
      </c>
      <c r="G104">
        <v>103</v>
      </c>
      <c r="H104">
        <v>27</v>
      </c>
    </row>
    <row r="105" spans="1:8" x14ac:dyDescent="0.25">
      <c r="A105">
        <v>104</v>
      </c>
      <c r="B105" t="s">
        <v>2609</v>
      </c>
      <c r="C105" t="s">
        <v>33</v>
      </c>
      <c r="D105" t="s">
        <v>2610</v>
      </c>
      <c r="E105" t="s">
        <v>12</v>
      </c>
      <c r="F105">
        <v>13</v>
      </c>
      <c r="G105">
        <v>98</v>
      </c>
      <c r="H105">
        <v>251</v>
      </c>
    </row>
    <row r="106" spans="1:8" x14ac:dyDescent="0.25">
      <c r="A106">
        <v>105</v>
      </c>
      <c r="B106" t="s">
        <v>2631</v>
      </c>
      <c r="C106" t="s">
        <v>2632</v>
      </c>
      <c r="D106" t="s">
        <v>2633</v>
      </c>
      <c r="E106" t="s">
        <v>910</v>
      </c>
      <c r="F106">
        <v>105</v>
      </c>
      <c r="G106">
        <v>114</v>
      </c>
      <c r="H106">
        <v>23</v>
      </c>
    </row>
    <row r="107" spans="1:8" x14ac:dyDescent="0.25">
      <c r="A107">
        <v>106</v>
      </c>
      <c r="B107" t="s">
        <v>2606</v>
      </c>
      <c r="C107" t="s">
        <v>552</v>
      </c>
      <c r="D107" t="s">
        <v>2607</v>
      </c>
      <c r="E107" t="s">
        <v>12</v>
      </c>
      <c r="F107">
        <v>3</v>
      </c>
      <c r="G107">
        <v>106</v>
      </c>
      <c r="H107">
        <v>251</v>
      </c>
    </row>
    <row r="108" spans="1:8" x14ac:dyDescent="0.25">
      <c r="A108">
        <v>107</v>
      </c>
      <c r="B108" t="s">
        <v>4730</v>
      </c>
      <c r="C108" t="s">
        <v>754</v>
      </c>
      <c r="D108" t="s">
        <v>4731</v>
      </c>
      <c r="E108" t="s">
        <v>283</v>
      </c>
      <c r="F108">
        <v>107</v>
      </c>
      <c r="G108">
        <v>-1</v>
      </c>
      <c r="H108">
        <v>1</v>
      </c>
    </row>
    <row r="109" spans="1:8" x14ac:dyDescent="0.25">
      <c r="A109">
        <v>108</v>
      </c>
      <c r="B109" t="s">
        <v>2267</v>
      </c>
      <c r="C109" t="s">
        <v>1522</v>
      </c>
      <c r="D109" t="s">
        <v>2268</v>
      </c>
      <c r="E109" t="s">
        <v>1524</v>
      </c>
      <c r="F109">
        <v>46</v>
      </c>
      <c r="G109">
        <v>116</v>
      </c>
      <c r="H109">
        <v>251</v>
      </c>
    </row>
    <row r="110" spans="1:8" x14ac:dyDescent="0.25">
      <c r="A110">
        <v>109</v>
      </c>
      <c r="B110" t="s">
        <v>2592</v>
      </c>
      <c r="C110" t="s">
        <v>69</v>
      </c>
      <c r="D110" t="s">
        <v>2593</v>
      </c>
      <c r="E110" t="s">
        <v>67</v>
      </c>
      <c r="F110">
        <v>3</v>
      </c>
      <c r="G110">
        <v>105</v>
      </c>
      <c r="H110">
        <v>98</v>
      </c>
    </row>
    <row r="111" spans="1:8" x14ac:dyDescent="0.25">
      <c r="A111">
        <v>110</v>
      </c>
      <c r="B111" t="s">
        <v>2640</v>
      </c>
      <c r="C111" t="s">
        <v>820</v>
      </c>
      <c r="D111" t="s">
        <v>2641</v>
      </c>
      <c r="E111" t="s">
        <v>88</v>
      </c>
      <c r="F111">
        <v>6</v>
      </c>
      <c r="G111">
        <v>133</v>
      </c>
      <c r="H111">
        <v>53</v>
      </c>
    </row>
    <row r="112" spans="1:8" x14ac:dyDescent="0.25">
      <c r="A112">
        <v>111</v>
      </c>
      <c r="B112" t="s">
        <v>2621</v>
      </c>
      <c r="C112" t="s">
        <v>584</v>
      </c>
      <c r="D112" t="s">
        <v>2622</v>
      </c>
      <c r="E112" t="s">
        <v>24</v>
      </c>
      <c r="F112">
        <v>37</v>
      </c>
      <c r="G112">
        <v>115</v>
      </c>
      <c r="H112">
        <v>74</v>
      </c>
    </row>
    <row r="113" spans="1:8" x14ac:dyDescent="0.25">
      <c r="A113">
        <v>112</v>
      </c>
      <c r="B113" t="s">
        <v>2052</v>
      </c>
      <c r="C113" t="s">
        <v>635</v>
      </c>
      <c r="D113" t="s">
        <v>2053</v>
      </c>
      <c r="E113" t="s">
        <v>109</v>
      </c>
      <c r="F113">
        <v>19</v>
      </c>
      <c r="G113">
        <v>104</v>
      </c>
      <c r="H113">
        <v>251</v>
      </c>
    </row>
    <row r="114" spans="1:8" x14ac:dyDescent="0.25">
      <c r="A114">
        <v>113</v>
      </c>
      <c r="B114" t="s">
        <v>2613</v>
      </c>
      <c r="C114" t="s">
        <v>622</v>
      </c>
      <c r="D114" t="s">
        <v>2614</v>
      </c>
      <c r="E114" t="s">
        <v>341</v>
      </c>
      <c r="F114">
        <v>104</v>
      </c>
      <c r="G114">
        <v>112</v>
      </c>
      <c r="H114">
        <v>70</v>
      </c>
    </row>
    <row r="115" spans="1:8" x14ac:dyDescent="0.25">
      <c r="A115">
        <v>114</v>
      </c>
      <c r="B115" t="s">
        <v>2589</v>
      </c>
      <c r="C115" t="s">
        <v>2590</v>
      </c>
      <c r="D115" t="s">
        <v>2591</v>
      </c>
      <c r="E115" t="s">
        <v>67</v>
      </c>
      <c r="F115">
        <v>60</v>
      </c>
      <c r="G115">
        <v>111</v>
      </c>
      <c r="H115">
        <v>251</v>
      </c>
    </row>
    <row r="116" spans="1:8" x14ac:dyDescent="0.25">
      <c r="A116">
        <v>115</v>
      </c>
      <c r="B116" t="s">
        <v>2634</v>
      </c>
      <c r="C116" t="s">
        <v>368</v>
      </c>
      <c r="D116" t="s">
        <v>2635</v>
      </c>
      <c r="E116" t="s">
        <v>370</v>
      </c>
      <c r="F116">
        <v>72</v>
      </c>
      <c r="G116">
        <v>124</v>
      </c>
      <c r="H116">
        <v>251</v>
      </c>
    </row>
    <row r="117" spans="1:8" x14ac:dyDescent="0.25">
      <c r="A117">
        <v>116</v>
      </c>
      <c r="B117" t="s">
        <v>2615</v>
      </c>
      <c r="C117" t="s">
        <v>458</v>
      </c>
      <c r="D117" t="s">
        <v>2616</v>
      </c>
      <c r="E117" t="s">
        <v>67</v>
      </c>
      <c r="F117">
        <v>1</v>
      </c>
      <c r="G117">
        <v>122</v>
      </c>
      <c r="H117">
        <v>99</v>
      </c>
    </row>
    <row r="118" spans="1:8" x14ac:dyDescent="0.25">
      <c r="A118">
        <v>117</v>
      </c>
      <c r="B118" t="s">
        <v>2626</v>
      </c>
      <c r="C118" t="s">
        <v>552</v>
      </c>
      <c r="D118" t="s">
        <v>2627</v>
      </c>
      <c r="E118" t="s">
        <v>12</v>
      </c>
      <c r="F118">
        <v>5</v>
      </c>
      <c r="G118">
        <v>118</v>
      </c>
      <c r="H118">
        <v>251</v>
      </c>
    </row>
    <row r="119" spans="1:8" x14ac:dyDescent="0.25">
      <c r="A119">
        <v>118</v>
      </c>
      <c r="B119" t="s">
        <v>2646</v>
      </c>
      <c r="C119" t="s">
        <v>545</v>
      </c>
      <c r="D119" t="s">
        <v>2647</v>
      </c>
      <c r="E119" t="s">
        <v>60</v>
      </c>
      <c r="F119">
        <v>5</v>
      </c>
      <c r="G119">
        <v>136</v>
      </c>
      <c r="H119">
        <v>38</v>
      </c>
    </row>
    <row r="120" spans="1:8" x14ac:dyDescent="0.25">
      <c r="A120">
        <v>119</v>
      </c>
      <c r="B120" t="s">
        <v>2596</v>
      </c>
      <c r="C120" t="s">
        <v>853</v>
      </c>
      <c r="D120" t="s">
        <v>2597</v>
      </c>
      <c r="E120" t="s">
        <v>1124</v>
      </c>
      <c r="F120">
        <v>97</v>
      </c>
      <c r="G120">
        <v>109</v>
      </c>
      <c r="H120">
        <v>59</v>
      </c>
    </row>
    <row r="121" spans="1:8" x14ac:dyDescent="0.25">
      <c r="A121">
        <v>120</v>
      </c>
      <c r="B121" t="s">
        <v>2619</v>
      </c>
      <c r="C121" t="s">
        <v>277</v>
      </c>
      <c r="D121" t="s">
        <v>2620</v>
      </c>
      <c r="E121" t="s">
        <v>1103</v>
      </c>
      <c r="F121">
        <v>103</v>
      </c>
      <c r="G121">
        <v>108</v>
      </c>
      <c r="H121">
        <v>79</v>
      </c>
    </row>
    <row r="122" spans="1:8" x14ac:dyDescent="0.25">
      <c r="A122">
        <v>121</v>
      </c>
      <c r="B122" t="s">
        <v>2628</v>
      </c>
      <c r="C122" t="s">
        <v>58</v>
      </c>
      <c r="D122" t="s">
        <v>2629</v>
      </c>
      <c r="E122" t="s">
        <v>2630</v>
      </c>
      <c r="F122">
        <v>1</v>
      </c>
      <c r="G122">
        <v>120</v>
      </c>
      <c r="H122">
        <v>120</v>
      </c>
    </row>
    <row r="123" spans="1:8" x14ac:dyDescent="0.25">
      <c r="A123">
        <v>122</v>
      </c>
      <c r="B123" t="s">
        <v>2638</v>
      </c>
      <c r="C123" t="s">
        <v>277</v>
      </c>
      <c r="D123" t="s">
        <v>2639</v>
      </c>
      <c r="E123" t="s">
        <v>370</v>
      </c>
      <c r="F123">
        <v>44</v>
      </c>
      <c r="G123">
        <v>121</v>
      </c>
      <c r="H123">
        <v>251</v>
      </c>
    </row>
    <row r="124" spans="1:8" x14ac:dyDescent="0.25">
      <c r="A124">
        <v>123</v>
      </c>
      <c r="B124" t="s">
        <v>2660</v>
      </c>
      <c r="C124" t="s">
        <v>851</v>
      </c>
      <c r="D124" t="s">
        <v>851</v>
      </c>
      <c r="E124" t="s">
        <v>67</v>
      </c>
      <c r="F124">
        <v>48</v>
      </c>
      <c r="G124">
        <v>128</v>
      </c>
      <c r="H124">
        <v>103</v>
      </c>
    </row>
    <row r="125" spans="1:8" x14ac:dyDescent="0.25">
      <c r="A125">
        <v>124</v>
      </c>
      <c r="B125" t="s">
        <v>4252</v>
      </c>
      <c r="C125" t="s">
        <v>1063</v>
      </c>
      <c r="D125" t="s">
        <v>4253</v>
      </c>
      <c r="E125" t="s">
        <v>1065</v>
      </c>
      <c r="F125">
        <v>36</v>
      </c>
      <c r="G125">
        <v>36</v>
      </c>
      <c r="H125">
        <v>2</v>
      </c>
    </row>
    <row r="126" spans="1:8" x14ac:dyDescent="0.25">
      <c r="A126">
        <v>125</v>
      </c>
      <c r="B126" t="s">
        <v>2650</v>
      </c>
      <c r="C126" t="s">
        <v>547</v>
      </c>
      <c r="D126" t="s">
        <v>2651</v>
      </c>
      <c r="E126" t="s">
        <v>228</v>
      </c>
      <c r="F126">
        <v>1</v>
      </c>
      <c r="G126">
        <v>130</v>
      </c>
      <c r="H126">
        <v>139</v>
      </c>
    </row>
    <row r="127" spans="1:8" x14ac:dyDescent="0.25">
      <c r="A127">
        <v>126</v>
      </c>
      <c r="B127" t="s">
        <v>2617</v>
      </c>
      <c r="C127" t="s">
        <v>654</v>
      </c>
      <c r="D127" t="s">
        <v>2618</v>
      </c>
      <c r="E127" t="s">
        <v>150</v>
      </c>
      <c r="F127">
        <v>2</v>
      </c>
      <c r="G127">
        <v>131</v>
      </c>
      <c r="H127">
        <v>23</v>
      </c>
    </row>
    <row r="128" spans="1:8" x14ac:dyDescent="0.25">
      <c r="A128">
        <v>127</v>
      </c>
      <c r="B128" t="s">
        <v>2608</v>
      </c>
      <c r="C128" t="s">
        <v>164</v>
      </c>
      <c r="D128" t="s">
        <v>4291</v>
      </c>
      <c r="E128" t="s">
        <v>164</v>
      </c>
      <c r="F128">
        <v>104</v>
      </c>
      <c r="G128">
        <v>110</v>
      </c>
      <c r="H128">
        <v>15</v>
      </c>
    </row>
    <row r="129" spans="1:8" x14ac:dyDescent="0.25">
      <c r="A129">
        <v>128</v>
      </c>
      <c r="B129" t="s">
        <v>2584</v>
      </c>
      <c r="C129" t="s">
        <v>1089</v>
      </c>
      <c r="D129" t="s">
        <v>2585</v>
      </c>
      <c r="E129" t="s">
        <v>138</v>
      </c>
      <c r="F129">
        <v>46</v>
      </c>
      <c r="G129">
        <v>113</v>
      </c>
      <c r="H129">
        <v>11</v>
      </c>
    </row>
    <row r="130" spans="1:8" x14ac:dyDescent="0.25">
      <c r="A130">
        <v>129</v>
      </c>
      <c r="B130" t="s">
        <v>2623</v>
      </c>
      <c r="C130" t="s">
        <v>538</v>
      </c>
      <c r="D130" t="s">
        <v>2624</v>
      </c>
      <c r="E130" t="s">
        <v>2625</v>
      </c>
      <c r="F130">
        <v>107</v>
      </c>
      <c r="G130">
        <v>107</v>
      </c>
      <c r="H130">
        <v>37</v>
      </c>
    </row>
    <row r="131" spans="1:8" x14ac:dyDescent="0.25">
      <c r="A131">
        <v>130</v>
      </c>
      <c r="B131" t="s">
        <v>4732</v>
      </c>
      <c r="C131" t="s">
        <v>2425</v>
      </c>
      <c r="D131" t="s">
        <v>4733</v>
      </c>
      <c r="E131" t="s">
        <v>4734</v>
      </c>
      <c r="F131">
        <v>130</v>
      </c>
      <c r="G131">
        <v>-1</v>
      </c>
      <c r="H131">
        <v>1</v>
      </c>
    </row>
    <row r="132" spans="1:8" x14ac:dyDescent="0.25">
      <c r="A132">
        <v>131</v>
      </c>
      <c r="B132" t="s">
        <v>4292</v>
      </c>
      <c r="C132" t="s">
        <v>170</v>
      </c>
      <c r="D132" t="s">
        <v>4293</v>
      </c>
      <c r="E132" t="s">
        <v>3333</v>
      </c>
      <c r="F132">
        <v>2</v>
      </c>
      <c r="G132">
        <v>153</v>
      </c>
      <c r="H132">
        <v>76</v>
      </c>
    </row>
    <row r="133" spans="1:8" x14ac:dyDescent="0.25">
      <c r="A133">
        <v>132</v>
      </c>
      <c r="B133" t="s">
        <v>2636</v>
      </c>
      <c r="C133" t="s">
        <v>538</v>
      </c>
      <c r="D133" t="s">
        <v>2637</v>
      </c>
      <c r="E133" t="s">
        <v>12</v>
      </c>
      <c r="F133">
        <v>2</v>
      </c>
      <c r="G133">
        <v>123</v>
      </c>
      <c r="H133">
        <v>169</v>
      </c>
    </row>
    <row r="134" spans="1:8" x14ac:dyDescent="0.25">
      <c r="A134">
        <v>133</v>
      </c>
      <c r="B134" t="s">
        <v>1991</v>
      </c>
      <c r="C134" t="s">
        <v>620</v>
      </c>
      <c r="D134" t="s">
        <v>1992</v>
      </c>
      <c r="E134" t="s">
        <v>1117</v>
      </c>
      <c r="F134">
        <v>2</v>
      </c>
      <c r="G134">
        <v>126</v>
      </c>
      <c r="H134">
        <v>8</v>
      </c>
    </row>
    <row r="135" spans="1:8" x14ac:dyDescent="0.25">
      <c r="A135">
        <v>134</v>
      </c>
      <c r="B135" t="s">
        <v>2302</v>
      </c>
      <c r="C135" t="s">
        <v>858</v>
      </c>
      <c r="D135" t="s">
        <v>2303</v>
      </c>
      <c r="E135" t="s">
        <v>268</v>
      </c>
      <c r="F135">
        <v>54</v>
      </c>
      <c r="G135">
        <v>141</v>
      </c>
      <c r="H135">
        <v>228</v>
      </c>
    </row>
    <row r="136" spans="1:8" x14ac:dyDescent="0.25">
      <c r="A136">
        <v>135</v>
      </c>
      <c r="B136" t="s">
        <v>2669</v>
      </c>
      <c r="C136" t="s">
        <v>93</v>
      </c>
      <c r="D136" t="s">
        <v>2670</v>
      </c>
      <c r="E136" t="s">
        <v>24</v>
      </c>
      <c r="F136">
        <v>4</v>
      </c>
      <c r="G136">
        <v>137</v>
      </c>
      <c r="H136">
        <v>73</v>
      </c>
    </row>
    <row r="137" spans="1:8" x14ac:dyDescent="0.25">
      <c r="A137">
        <v>136</v>
      </c>
      <c r="B137" t="s">
        <v>2654</v>
      </c>
      <c r="C137" t="s">
        <v>567</v>
      </c>
      <c r="D137" t="s">
        <v>2655</v>
      </c>
      <c r="E137" t="s">
        <v>12</v>
      </c>
      <c r="F137">
        <v>112</v>
      </c>
      <c r="G137">
        <v>127</v>
      </c>
      <c r="H137">
        <v>33</v>
      </c>
    </row>
    <row r="138" spans="1:8" x14ac:dyDescent="0.25">
      <c r="A138">
        <v>137</v>
      </c>
      <c r="B138" t="s">
        <v>2652</v>
      </c>
      <c r="C138" t="s">
        <v>277</v>
      </c>
      <c r="D138" t="s">
        <v>2653</v>
      </c>
      <c r="E138" t="s">
        <v>279</v>
      </c>
      <c r="F138">
        <v>130</v>
      </c>
      <c r="G138">
        <v>134</v>
      </c>
      <c r="H138">
        <v>110</v>
      </c>
    </row>
    <row r="139" spans="1:8" x14ac:dyDescent="0.25">
      <c r="A139">
        <v>138</v>
      </c>
      <c r="B139" t="s">
        <v>2661</v>
      </c>
      <c r="C139" t="s">
        <v>2662</v>
      </c>
      <c r="D139" t="s">
        <v>2663</v>
      </c>
      <c r="E139" t="s">
        <v>519</v>
      </c>
      <c r="F139">
        <v>138</v>
      </c>
      <c r="G139">
        <v>177</v>
      </c>
      <c r="H139">
        <v>3</v>
      </c>
    </row>
    <row r="140" spans="1:8" x14ac:dyDescent="0.25">
      <c r="A140">
        <v>139</v>
      </c>
      <c r="B140" t="s">
        <v>4735</v>
      </c>
      <c r="C140" t="s">
        <v>847</v>
      </c>
      <c r="D140" t="s">
        <v>4736</v>
      </c>
      <c r="E140" t="s">
        <v>88</v>
      </c>
      <c r="F140">
        <v>139</v>
      </c>
      <c r="G140">
        <v>-1</v>
      </c>
      <c r="H140">
        <v>1</v>
      </c>
    </row>
    <row r="141" spans="1:8" x14ac:dyDescent="0.25">
      <c r="A141">
        <v>140</v>
      </c>
      <c r="B141" t="s">
        <v>2602</v>
      </c>
      <c r="C141" t="s">
        <v>864</v>
      </c>
      <c r="D141" t="s">
        <v>2603</v>
      </c>
      <c r="E141" t="s">
        <v>2420</v>
      </c>
      <c r="F141">
        <v>70</v>
      </c>
      <c r="G141">
        <v>140</v>
      </c>
      <c r="H141">
        <v>18</v>
      </c>
    </row>
    <row r="142" spans="1:8" x14ac:dyDescent="0.25">
      <c r="A142">
        <v>141</v>
      </c>
      <c r="B142" t="s">
        <v>2656</v>
      </c>
      <c r="C142" t="s">
        <v>650</v>
      </c>
      <c r="D142" t="s">
        <v>2657</v>
      </c>
      <c r="E142" t="s">
        <v>353</v>
      </c>
      <c r="F142">
        <v>12</v>
      </c>
      <c r="G142">
        <v>143</v>
      </c>
      <c r="H142">
        <v>123</v>
      </c>
    </row>
    <row r="143" spans="1:8" x14ac:dyDescent="0.25">
      <c r="A143">
        <v>142</v>
      </c>
      <c r="B143" t="s">
        <v>4737</v>
      </c>
      <c r="C143" t="s">
        <v>3702</v>
      </c>
      <c r="D143" t="s">
        <v>4738</v>
      </c>
      <c r="E143" t="s">
        <v>3702</v>
      </c>
      <c r="F143">
        <v>142</v>
      </c>
      <c r="G143">
        <v>-1</v>
      </c>
      <c r="H143">
        <v>1</v>
      </c>
    </row>
    <row r="144" spans="1:8" x14ac:dyDescent="0.25">
      <c r="A144">
        <v>143</v>
      </c>
      <c r="B144" t="s">
        <v>2078</v>
      </c>
      <c r="C144" t="s">
        <v>511</v>
      </c>
      <c r="D144" t="s">
        <v>2079</v>
      </c>
      <c r="E144" t="s">
        <v>1164</v>
      </c>
      <c r="F144">
        <v>36</v>
      </c>
      <c r="G144">
        <v>146</v>
      </c>
      <c r="H144">
        <v>77</v>
      </c>
    </row>
    <row r="145" spans="1:8" x14ac:dyDescent="0.25">
      <c r="A145">
        <v>144</v>
      </c>
      <c r="B145" t="s">
        <v>2299</v>
      </c>
      <c r="C145" t="s">
        <v>1813</v>
      </c>
      <c r="D145" t="s">
        <v>2300</v>
      </c>
      <c r="E145" t="s">
        <v>2301</v>
      </c>
      <c r="F145">
        <v>66</v>
      </c>
      <c r="G145">
        <v>155</v>
      </c>
      <c r="H145">
        <v>158</v>
      </c>
    </row>
    <row r="146" spans="1:8" x14ac:dyDescent="0.25">
      <c r="A146">
        <v>145</v>
      </c>
      <c r="B146" t="s">
        <v>2658</v>
      </c>
      <c r="C146" t="s">
        <v>567</v>
      </c>
      <c r="D146" t="s">
        <v>2659</v>
      </c>
      <c r="E146" t="s">
        <v>12</v>
      </c>
      <c r="F146">
        <v>115</v>
      </c>
      <c r="G146">
        <v>142</v>
      </c>
      <c r="H146">
        <v>34</v>
      </c>
    </row>
    <row r="147" spans="1:8" x14ac:dyDescent="0.25">
      <c r="A147">
        <v>146</v>
      </c>
      <c r="B147" t="s">
        <v>2700</v>
      </c>
      <c r="C147" t="s">
        <v>33</v>
      </c>
      <c r="D147" t="s">
        <v>2701</v>
      </c>
      <c r="E147" t="s">
        <v>12</v>
      </c>
      <c r="F147">
        <v>82</v>
      </c>
      <c r="G147">
        <v>132</v>
      </c>
      <c r="H147">
        <v>48</v>
      </c>
    </row>
    <row r="148" spans="1:8" x14ac:dyDescent="0.25">
      <c r="A148">
        <v>147</v>
      </c>
      <c r="B148" t="s">
        <v>2157</v>
      </c>
      <c r="C148" t="s">
        <v>1434</v>
      </c>
      <c r="D148" t="s">
        <v>2158</v>
      </c>
      <c r="E148" t="s">
        <v>1436</v>
      </c>
      <c r="F148">
        <v>46</v>
      </c>
      <c r="G148">
        <v>149</v>
      </c>
      <c r="H148">
        <v>206</v>
      </c>
    </row>
    <row r="149" spans="1:8" x14ac:dyDescent="0.25">
      <c r="A149">
        <v>148</v>
      </c>
      <c r="B149" t="s">
        <v>2611</v>
      </c>
      <c r="C149" t="s">
        <v>93</v>
      </c>
      <c r="D149" t="s">
        <v>2612</v>
      </c>
      <c r="E149" t="s">
        <v>24</v>
      </c>
      <c r="F149">
        <v>2</v>
      </c>
      <c r="G149">
        <v>138</v>
      </c>
      <c r="H149">
        <v>55</v>
      </c>
    </row>
    <row r="150" spans="1:8" x14ac:dyDescent="0.25">
      <c r="A150">
        <v>149</v>
      </c>
      <c r="B150" t="s">
        <v>2278</v>
      </c>
      <c r="C150" t="s">
        <v>339</v>
      </c>
      <c r="D150" t="s">
        <v>2279</v>
      </c>
      <c r="E150" t="s">
        <v>341</v>
      </c>
      <c r="F150">
        <v>104</v>
      </c>
      <c r="G150">
        <v>165</v>
      </c>
      <c r="H150">
        <v>199</v>
      </c>
    </row>
    <row r="151" spans="1:8" x14ac:dyDescent="0.25">
      <c r="A151">
        <v>150</v>
      </c>
      <c r="B151" t="s">
        <v>2676</v>
      </c>
      <c r="C151" t="s">
        <v>281</v>
      </c>
      <c r="D151" t="s">
        <v>2677</v>
      </c>
      <c r="E151" t="s">
        <v>2678</v>
      </c>
      <c r="F151">
        <v>108</v>
      </c>
      <c r="G151">
        <v>152</v>
      </c>
      <c r="H151">
        <v>104</v>
      </c>
    </row>
    <row r="152" spans="1:8" x14ac:dyDescent="0.25">
      <c r="A152">
        <v>151</v>
      </c>
      <c r="B152" t="s">
        <v>2702</v>
      </c>
      <c r="C152" t="s">
        <v>33</v>
      </c>
      <c r="D152" t="s">
        <v>2703</v>
      </c>
      <c r="E152" t="s">
        <v>12</v>
      </c>
      <c r="F152">
        <v>19</v>
      </c>
      <c r="G152">
        <v>135</v>
      </c>
      <c r="H152">
        <v>175</v>
      </c>
    </row>
    <row r="153" spans="1:8" x14ac:dyDescent="0.25">
      <c r="A153">
        <v>152</v>
      </c>
      <c r="B153" t="s">
        <v>2151</v>
      </c>
      <c r="C153" t="s">
        <v>841</v>
      </c>
      <c r="D153" t="s">
        <v>2152</v>
      </c>
      <c r="E153" t="s">
        <v>268</v>
      </c>
      <c r="F153">
        <v>5</v>
      </c>
      <c r="G153">
        <v>150</v>
      </c>
      <c r="H153">
        <v>236</v>
      </c>
    </row>
    <row r="154" spans="1:8" x14ac:dyDescent="0.25">
      <c r="A154">
        <v>153</v>
      </c>
      <c r="B154" t="s">
        <v>2664</v>
      </c>
      <c r="C154" t="s">
        <v>298</v>
      </c>
      <c r="D154" t="s">
        <v>2665</v>
      </c>
      <c r="E154" t="s">
        <v>67</v>
      </c>
      <c r="F154">
        <v>9</v>
      </c>
      <c r="G154">
        <v>147</v>
      </c>
      <c r="H154">
        <v>67</v>
      </c>
    </row>
    <row r="155" spans="1:8" x14ac:dyDescent="0.25">
      <c r="A155">
        <v>154</v>
      </c>
      <c r="B155" t="s">
        <v>2644</v>
      </c>
      <c r="C155" t="s">
        <v>538</v>
      </c>
      <c r="D155" t="s">
        <v>2645</v>
      </c>
      <c r="E155" t="s">
        <v>2625</v>
      </c>
      <c r="F155">
        <v>119</v>
      </c>
      <c r="G155">
        <v>119</v>
      </c>
      <c r="H155">
        <v>78</v>
      </c>
    </row>
    <row r="156" spans="1:8" x14ac:dyDescent="0.25">
      <c r="A156">
        <v>155</v>
      </c>
      <c r="B156" t="s">
        <v>2106</v>
      </c>
      <c r="C156" t="s">
        <v>301</v>
      </c>
      <c r="D156" t="s">
        <v>2107</v>
      </c>
      <c r="E156" t="s">
        <v>303</v>
      </c>
      <c r="F156">
        <v>26</v>
      </c>
      <c r="G156">
        <v>-1</v>
      </c>
      <c r="H156">
        <v>12</v>
      </c>
    </row>
    <row r="157" spans="1:8" x14ac:dyDescent="0.25">
      <c r="A157">
        <v>156</v>
      </c>
      <c r="B157" t="s">
        <v>2101</v>
      </c>
      <c r="C157" t="s">
        <v>1843</v>
      </c>
      <c r="D157" t="s">
        <v>2102</v>
      </c>
      <c r="E157" t="s">
        <v>303</v>
      </c>
      <c r="F157">
        <v>4</v>
      </c>
      <c r="G157">
        <v>163</v>
      </c>
      <c r="H157">
        <v>92</v>
      </c>
    </row>
    <row r="158" spans="1:8" x14ac:dyDescent="0.25">
      <c r="A158">
        <v>157</v>
      </c>
      <c r="B158" t="s">
        <v>2191</v>
      </c>
      <c r="C158" t="s">
        <v>635</v>
      </c>
      <c r="D158" t="s">
        <v>2192</v>
      </c>
      <c r="E158" t="s">
        <v>109</v>
      </c>
      <c r="F158">
        <v>24</v>
      </c>
      <c r="G158">
        <v>151</v>
      </c>
      <c r="H158">
        <v>242</v>
      </c>
    </row>
    <row r="159" spans="1:8" x14ac:dyDescent="0.25">
      <c r="A159">
        <v>158</v>
      </c>
      <c r="B159" t="s">
        <v>2035</v>
      </c>
      <c r="C159" t="s">
        <v>335</v>
      </c>
      <c r="D159" t="s">
        <v>2036</v>
      </c>
      <c r="E159" t="s">
        <v>337</v>
      </c>
      <c r="F159">
        <v>40</v>
      </c>
      <c r="G159">
        <v>144</v>
      </c>
      <c r="H159">
        <v>69</v>
      </c>
    </row>
    <row r="160" spans="1:8" x14ac:dyDescent="0.25">
      <c r="A160">
        <v>159</v>
      </c>
      <c r="B160" t="s">
        <v>2682</v>
      </c>
      <c r="C160" t="s">
        <v>547</v>
      </c>
      <c r="D160" t="s">
        <v>2683</v>
      </c>
      <c r="E160" t="s">
        <v>228</v>
      </c>
      <c r="F160">
        <v>32</v>
      </c>
      <c r="G160">
        <v>158</v>
      </c>
      <c r="H160">
        <v>27</v>
      </c>
    </row>
    <row r="161" spans="1:8" x14ac:dyDescent="0.25">
      <c r="A161">
        <v>160</v>
      </c>
      <c r="B161" t="s">
        <v>4739</v>
      </c>
      <c r="C161" t="s">
        <v>4740</v>
      </c>
      <c r="D161" t="s">
        <v>4741</v>
      </c>
      <c r="E161" t="s">
        <v>427</v>
      </c>
      <c r="F161">
        <v>138</v>
      </c>
      <c r="G161">
        <v>-1</v>
      </c>
      <c r="H161">
        <v>11</v>
      </c>
    </row>
    <row r="162" spans="1:8" x14ac:dyDescent="0.25">
      <c r="A162">
        <v>161</v>
      </c>
      <c r="B162" t="s">
        <v>2028</v>
      </c>
      <c r="C162" t="s">
        <v>628</v>
      </c>
      <c r="D162" t="s">
        <v>1306</v>
      </c>
      <c r="E162" t="s">
        <v>1307</v>
      </c>
      <c r="F162">
        <v>12</v>
      </c>
      <c r="G162">
        <v>168</v>
      </c>
      <c r="H162">
        <v>240</v>
      </c>
    </row>
    <row r="163" spans="1:8" x14ac:dyDescent="0.25">
      <c r="A163">
        <v>162</v>
      </c>
      <c r="B163" t="s">
        <v>2720</v>
      </c>
      <c r="C163" t="s">
        <v>851</v>
      </c>
      <c r="D163" t="s">
        <v>2721</v>
      </c>
      <c r="E163" t="s">
        <v>24</v>
      </c>
      <c r="F163">
        <v>45</v>
      </c>
      <c r="G163">
        <v>173</v>
      </c>
      <c r="H163">
        <v>242</v>
      </c>
    </row>
    <row r="164" spans="1:8" x14ac:dyDescent="0.25">
      <c r="A164">
        <v>163</v>
      </c>
      <c r="B164" t="s">
        <v>2015</v>
      </c>
      <c r="C164" t="s">
        <v>573</v>
      </c>
      <c r="D164" t="s">
        <v>2016</v>
      </c>
      <c r="E164" t="s">
        <v>573</v>
      </c>
      <c r="F164">
        <v>30</v>
      </c>
      <c r="G164">
        <v>181</v>
      </c>
      <c r="H164">
        <v>199</v>
      </c>
    </row>
    <row r="165" spans="1:8" x14ac:dyDescent="0.25">
      <c r="A165">
        <v>164</v>
      </c>
      <c r="B165" t="s">
        <v>4742</v>
      </c>
      <c r="C165" t="s">
        <v>4743</v>
      </c>
      <c r="D165" t="s">
        <v>4744</v>
      </c>
      <c r="E165" t="s">
        <v>150</v>
      </c>
      <c r="F165">
        <v>8</v>
      </c>
      <c r="G165">
        <v>-1</v>
      </c>
      <c r="H165">
        <v>9</v>
      </c>
    </row>
    <row r="166" spans="1:8" x14ac:dyDescent="0.25">
      <c r="A166">
        <v>165</v>
      </c>
      <c r="B166" t="s">
        <v>2713</v>
      </c>
      <c r="C166" t="s">
        <v>554</v>
      </c>
      <c r="D166" t="s">
        <v>2714</v>
      </c>
      <c r="E166" t="s">
        <v>88</v>
      </c>
      <c r="F166">
        <v>32</v>
      </c>
      <c r="G166">
        <v>199</v>
      </c>
      <c r="H166">
        <v>10</v>
      </c>
    </row>
    <row r="167" spans="1:8" x14ac:dyDescent="0.25">
      <c r="A167">
        <v>166</v>
      </c>
      <c r="B167" t="s">
        <v>2666</v>
      </c>
      <c r="C167" t="s">
        <v>650</v>
      </c>
      <c r="D167" t="s">
        <v>650</v>
      </c>
      <c r="E167" t="s">
        <v>353</v>
      </c>
      <c r="F167">
        <v>41</v>
      </c>
      <c r="G167">
        <v>148</v>
      </c>
      <c r="H167">
        <v>239</v>
      </c>
    </row>
    <row r="168" spans="1:8" x14ac:dyDescent="0.25">
      <c r="A168">
        <v>167</v>
      </c>
      <c r="B168" t="s">
        <v>2695</v>
      </c>
      <c r="C168" t="s">
        <v>743</v>
      </c>
      <c r="D168" t="s">
        <v>2696</v>
      </c>
      <c r="E168" t="s">
        <v>2697</v>
      </c>
      <c r="F168">
        <v>137</v>
      </c>
      <c r="G168">
        <v>156</v>
      </c>
      <c r="H168">
        <v>28</v>
      </c>
    </row>
    <row r="169" spans="1:8" x14ac:dyDescent="0.25">
      <c r="A169">
        <v>168</v>
      </c>
      <c r="B169" t="s">
        <v>2159</v>
      </c>
      <c r="C169" t="s">
        <v>620</v>
      </c>
      <c r="D169" t="s">
        <v>2160</v>
      </c>
      <c r="E169" t="s">
        <v>1972</v>
      </c>
      <c r="F169">
        <v>34</v>
      </c>
      <c r="G169">
        <v>171</v>
      </c>
      <c r="H169">
        <v>251</v>
      </c>
    </row>
    <row r="170" spans="1:8" x14ac:dyDescent="0.25">
      <c r="A170">
        <v>169</v>
      </c>
      <c r="B170" t="s">
        <v>4745</v>
      </c>
      <c r="C170" t="s">
        <v>853</v>
      </c>
      <c r="D170" t="s">
        <v>4746</v>
      </c>
      <c r="E170" t="s">
        <v>88</v>
      </c>
      <c r="F170">
        <v>123</v>
      </c>
      <c r="G170">
        <v>-1</v>
      </c>
      <c r="H170">
        <v>18</v>
      </c>
    </row>
    <row r="171" spans="1:8" x14ac:dyDescent="0.25">
      <c r="A171">
        <v>170</v>
      </c>
      <c r="B171" t="s">
        <v>2076</v>
      </c>
      <c r="C171" t="s">
        <v>723</v>
      </c>
      <c r="D171" t="s">
        <v>2077</v>
      </c>
      <c r="E171" t="s">
        <v>1267</v>
      </c>
      <c r="F171">
        <v>61</v>
      </c>
      <c r="G171">
        <v>-1</v>
      </c>
      <c r="H171">
        <v>72</v>
      </c>
    </row>
    <row r="172" spans="1:8" x14ac:dyDescent="0.25">
      <c r="A172">
        <v>171</v>
      </c>
      <c r="B172" t="s">
        <v>2011</v>
      </c>
      <c r="C172" t="s">
        <v>573</v>
      </c>
      <c r="D172" t="s">
        <v>2012</v>
      </c>
      <c r="E172" t="s">
        <v>573</v>
      </c>
      <c r="F172">
        <v>1</v>
      </c>
      <c r="G172">
        <v>125</v>
      </c>
      <c r="H172">
        <v>67</v>
      </c>
    </row>
    <row r="173" spans="1:8" x14ac:dyDescent="0.25">
      <c r="A173">
        <v>172</v>
      </c>
      <c r="B173" t="s">
        <v>2717</v>
      </c>
      <c r="C173" t="s">
        <v>2718</v>
      </c>
      <c r="D173" t="s">
        <v>2719</v>
      </c>
      <c r="E173" t="s">
        <v>12</v>
      </c>
      <c r="F173">
        <v>73</v>
      </c>
      <c r="G173">
        <v>192</v>
      </c>
      <c r="H173">
        <v>78</v>
      </c>
    </row>
    <row r="174" spans="1:8" x14ac:dyDescent="0.25">
      <c r="A174">
        <v>173</v>
      </c>
      <c r="B174" t="s">
        <v>2093</v>
      </c>
      <c r="C174" t="s">
        <v>710</v>
      </c>
      <c r="D174" t="s">
        <v>2094</v>
      </c>
      <c r="E174" t="s">
        <v>1211</v>
      </c>
      <c r="F174">
        <v>34</v>
      </c>
      <c r="G174">
        <v>172</v>
      </c>
      <c r="H174">
        <v>248</v>
      </c>
    </row>
    <row r="175" spans="1:8" x14ac:dyDescent="0.25">
      <c r="A175">
        <v>174</v>
      </c>
      <c r="B175" t="s">
        <v>2648</v>
      </c>
      <c r="C175" t="s">
        <v>33</v>
      </c>
      <c r="D175" t="s">
        <v>2649</v>
      </c>
      <c r="E175" t="s">
        <v>12</v>
      </c>
      <c r="F175">
        <v>41</v>
      </c>
      <c r="G175">
        <v>117</v>
      </c>
      <c r="H175">
        <v>64</v>
      </c>
    </row>
    <row r="176" spans="1:8" x14ac:dyDescent="0.25">
      <c r="A176">
        <v>175</v>
      </c>
      <c r="B176" t="s">
        <v>2671</v>
      </c>
      <c r="C176" t="s">
        <v>93</v>
      </c>
      <c r="D176" t="s">
        <v>2672</v>
      </c>
      <c r="E176" t="s">
        <v>24</v>
      </c>
      <c r="F176">
        <v>1</v>
      </c>
      <c r="G176">
        <v>164</v>
      </c>
      <c r="H176">
        <v>212</v>
      </c>
    </row>
    <row r="177" spans="1:8" x14ac:dyDescent="0.25">
      <c r="A177">
        <v>176</v>
      </c>
      <c r="B177" t="s">
        <v>2673</v>
      </c>
      <c r="C177" t="s">
        <v>588</v>
      </c>
      <c r="D177" t="s">
        <v>2674</v>
      </c>
      <c r="E177" t="s">
        <v>2675</v>
      </c>
      <c r="F177">
        <v>1</v>
      </c>
      <c r="G177">
        <v>160</v>
      </c>
      <c r="H177">
        <v>142</v>
      </c>
    </row>
    <row r="178" spans="1:8" x14ac:dyDescent="0.25">
      <c r="A178">
        <v>177</v>
      </c>
      <c r="B178" t="s">
        <v>2021</v>
      </c>
      <c r="C178" t="s">
        <v>1651</v>
      </c>
      <c r="D178" t="s">
        <v>2022</v>
      </c>
      <c r="E178" t="s">
        <v>2023</v>
      </c>
      <c r="F178">
        <v>1</v>
      </c>
      <c r="G178">
        <v>169</v>
      </c>
      <c r="H178">
        <v>224</v>
      </c>
    </row>
    <row r="179" spans="1:8" x14ac:dyDescent="0.25">
      <c r="A179">
        <v>178</v>
      </c>
      <c r="B179" t="s">
        <v>2715</v>
      </c>
      <c r="C179" t="s">
        <v>607</v>
      </c>
      <c r="D179" t="s">
        <v>2716</v>
      </c>
      <c r="E179" t="s">
        <v>1079</v>
      </c>
      <c r="F179">
        <v>108</v>
      </c>
      <c r="G179">
        <v>185</v>
      </c>
      <c r="H179">
        <v>27</v>
      </c>
    </row>
    <row r="180" spans="1:8" x14ac:dyDescent="0.25">
      <c r="A180">
        <v>179</v>
      </c>
      <c r="B180" t="s">
        <v>2732</v>
      </c>
      <c r="C180" t="s">
        <v>46</v>
      </c>
      <c r="D180" t="s">
        <v>2733</v>
      </c>
      <c r="E180" t="s">
        <v>12</v>
      </c>
      <c r="F180">
        <v>179</v>
      </c>
      <c r="G180">
        <v>179</v>
      </c>
      <c r="H180">
        <v>6</v>
      </c>
    </row>
    <row r="181" spans="1:8" x14ac:dyDescent="0.25">
      <c r="A181">
        <v>180</v>
      </c>
      <c r="B181" t="s">
        <v>2686</v>
      </c>
      <c r="C181" t="s">
        <v>622</v>
      </c>
      <c r="D181" t="s">
        <v>2687</v>
      </c>
      <c r="E181" t="s">
        <v>341</v>
      </c>
      <c r="F181">
        <v>159</v>
      </c>
      <c r="G181">
        <v>159</v>
      </c>
      <c r="H181">
        <v>21</v>
      </c>
    </row>
    <row r="182" spans="1:8" x14ac:dyDescent="0.25">
      <c r="A182">
        <v>181</v>
      </c>
      <c r="B182" t="s">
        <v>2704</v>
      </c>
      <c r="C182" t="s">
        <v>616</v>
      </c>
      <c r="D182" t="s">
        <v>2705</v>
      </c>
      <c r="E182" t="s">
        <v>67</v>
      </c>
      <c r="F182">
        <v>77</v>
      </c>
      <c r="G182">
        <v>191</v>
      </c>
      <c r="H182">
        <v>170</v>
      </c>
    </row>
    <row r="183" spans="1:8" x14ac:dyDescent="0.25">
      <c r="A183">
        <v>182</v>
      </c>
      <c r="B183" t="s">
        <v>2041</v>
      </c>
      <c r="C183" t="s">
        <v>697</v>
      </c>
      <c r="D183" t="s">
        <v>2042</v>
      </c>
      <c r="E183" t="s">
        <v>1015</v>
      </c>
      <c r="F183">
        <v>3</v>
      </c>
      <c r="G183">
        <v>170</v>
      </c>
      <c r="H183">
        <v>21</v>
      </c>
    </row>
    <row r="184" spans="1:8" x14ac:dyDescent="0.25">
      <c r="A184">
        <v>183</v>
      </c>
      <c r="B184" t="s">
        <v>2706</v>
      </c>
      <c r="C184" t="s">
        <v>750</v>
      </c>
      <c r="D184" t="s">
        <v>2707</v>
      </c>
      <c r="E184" t="s">
        <v>2708</v>
      </c>
      <c r="F184">
        <v>114</v>
      </c>
      <c r="G184">
        <v>161</v>
      </c>
      <c r="H184">
        <v>52</v>
      </c>
    </row>
    <row r="185" spans="1:8" x14ac:dyDescent="0.25">
      <c r="A185">
        <v>184</v>
      </c>
      <c r="B185" t="s">
        <v>2317</v>
      </c>
      <c r="C185" t="s">
        <v>329</v>
      </c>
      <c r="D185" t="s">
        <v>2318</v>
      </c>
      <c r="E185" t="s">
        <v>268</v>
      </c>
      <c r="F185">
        <v>2</v>
      </c>
      <c r="G185">
        <v>174</v>
      </c>
      <c r="H185">
        <v>42</v>
      </c>
    </row>
    <row r="186" spans="1:8" x14ac:dyDescent="0.25">
      <c r="A186">
        <v>185</v>
      </c>
      <c r="B186" t="s">
        <v>2667</v>
      </c>
      <c r="C186" t="s">
        <v>152</v>
      </c>
      <c r="D186" t="s">
        <v>2668</v>
      </c>
      <c r="E186" t="s">
        <v>67</v>
      </c>
      <c r="F186">
        <v>105</v>
      </c>
      <c r="G186">
        <v>196</v>
      </c>
      <c r="H186">
        <v>47</v>
      </c>
    </row>
    <row r="187" spans="1:8" x14ac:dyDescent="0.25">
      <c r="A187">
        <v>186</v>
      </c>
      <c r="B187" t="s">
        <v>2679</v>
      </c>
      <c r="C187" t="s">
        <v>652</v>
      </c>
      <c r="D187" t="s">
        <v>2680</v>
      </c>
      <c r="E187" t="s">
        <v>2681</v>
      </c>
      <c r="F187">
        <v>151</v>
      </c>
      <c r="G187">
        <v>162</v>
      </c>
      <c r="H187">
        <v>53</v>
      </c>
    </row>
    <row r="188" spans="1:8" x14ac:dyDescent="0.25">
      <c r="A188">
        <v>187</v>
      </c>
      <c r="B188" t="s">
        <v>2684</v>
      </c>
      <c r="C188" t="s">
        <v>605</v>
      </c>
      <c r="D188" t="s">
        <v>2685</v>
      </c>
      <c r="E188" t="s">
        <v>88</v>
      </c>
      <c r="F188">
        <v>4</v>
      </c>
      <c r="G188">
        <v>139</v>
      </c>
      <c r="H188">
        <v>179</v>
      </c>
    </row>
    <row r="189" spans="1:8" x14ac:dyDescent="0.25">
      <c r="A189">
        <v>188</v>
      </c>
      <c r="B189" t="s">
        <v>2246</v>
      </c>
      <c r="C189" t="s">
        <v>710</v>
      </c>
      <c r="D189" t="s">
        <v>2247</v>
      </c>
      <c r="E189" t="s">
        <v>1211</v>
      </c>
      <c r="F189">
        <v>73</v>
      </c>
      <c r="G189">
        <v>186</v>
      </c>
      <c r="H189">
        <v>164</v>
      </c>
    </row>
    <row r="190" spans="1:8" x14ac:dyDescent="0.25">
      <c r="A190">
        <v>189</v>
      </c>
      <c r="B190" t="s">
        <v>2013</v>
      </c>
      <c r="C190" t="s">
        <v>573</v>
      </c>
      <c r="D190" t="s">
        <v>2014</v>
      </c>
      <c r="E190" t="s">
        <v>573</v>
      </c>
      <c r="F190">
        <v>13</v>
      </c>
      <c r="G190">
        <v>166</v>
      </c>
      <c r="H190">
        <v>175</v>
      </c>
    </row>
    <row r="191" spans="1:8" x14ac:dyDescent="0.25">
      <c r="A191">
        <v>190</v>
      </c>
      <c r="B191" t="s">
        <v>2127</v>
      </c>
      <c r="C191" t="s">
        <v>1105</v>
      </c>
      <c r="D191" t="s">
        <v>2128</v>
      </c>
      <c r="E191" t="s">
        <v>303</v>
      </c>
      <c r="F191">
        <v>4</v>
      </c>
      <c r="G191">
        <v>-1</v>
      </c>
      <c r="H191">
        <v>56</v>
      </c>
    </row>
    <row r="192" spans="1:8" x14ac:dyDescent="0.25">
      <c r="A192">
        <v>191</v>
      </c>
      <c r="B192" t="s">
        <v>2726</v>
      </c>
      <c r="C192" t="s">
        <v>2727</v>
      </c>
      <c r="D192" t="s">
        <v>2728</v>
      </c>
      <c r="E192" t="s">
        <v>2729</v>
      </c>
      <c r="F192">
        <v>110</v>
      </c>
      <c r="G192">
        <v>187</v>
      </c>
      <c r="H192">
        <v>38</v>
      </c>
    </row>
    <row r="193" spans="1:8" x14ac:dyDescent="0.25">
      <c r="A193">
        <v>192</v>
      </c>
      <c r="B193" t="s">
        <v>4294</v>
      </c>
      <c r="C193" t="s">
        <v>561</v>
      </c>
      <c r="D193" t="s">
        <v>4295</v>
      </c>
      <c r="E193" t="s">
        <v>138</v>
      </c>
      <c r="F193">
        <v>31</v>
      </c>
      <c r="G193">
        <v>197</v>
      </c>
      <c r="H193">
        <v>33</v>
      </c>
    </row>
    <row r="194" spans="1:8" x14ac:dyDescent="0.25">
      <c r="A194">
        <v>193</v>
      </c>
      <c r="B194" t="s">
        <v>2710</v>
      </c>
      <c r="C194" t="s">
        <v>2422</v>
      </c>
      <c r="D194" t="s">
        <v>2711</v>
      </c>
      <c r="E194" t="s">
        <v>2712</v>
      </c>
      <c r="F194">
        <v>107</v>
      </c>
      <c r="G194">
        <v>200</v>
      </c>
      <c r="H194">
        <v>51</v>
      </c>
    </row>
    <row r="195" spans="1:8" x14ac:dyDescent="0.25">
      <c r="A195">
        <v>194</v>
      </c>
      <c r="B195" t="s">
        <v>2722</v>
      </c>
      <c r="C195" t="s">
        <v>2723</v>
      </c>
      <c r="D195" t="s">
        <v>2724</v>
      </c>
      <c r="E195" t="s">
        <v>2725</v>
      </c>
      <c r="F195">
        <v>114</v>
      </c>
      <c r="G195">
        <v>182</v>
      </c>
      <c r="H195">
        <v>14</v>
      </c>
    </row>
    <row r="196" spans="1:8" x14ac:dyDescent="0.25">
      <c r="A196">
        <v>195</v>
      </c>
      <c r="B196" t="s">
        <v>2161</v>
      </c>
      <c r="C196" t="s">
        <v>841</v>
      </c>
      <c r="D196" t="s">
        <v>2162</v>
      </c>
      <c r="E196" t="s">
        <v>268</v>
      </c>
      <c r="F196">
        <v>31</v>
      </c>
      <c r="G196">
        <v>183</v>
      </c>
      <c r="H196">
        <v>212</v>
      </c>
    </row>
    <row r="197" spans="1:8" x14ac:dyDescent="0.25">
      <c r="A197">
        <v>196</v>
      </c>
      <c r="B197" t="s">
        <v>2690</v>
      </c>
      <c r="C197" t="s">
        <v>43</v>
      </c>
      <c r="D197" t="s">
        <v>2691</v>
      </c>
      <c r="E197" t="s">
        <v>31</v>
      </c>
      <c r="F197">
        <v>113</v>
      </c>
      <c r="G197">
        <v>184</v>
      </c>
      <c r="H197">
        <v>86</v>
      </c>
    </row>
    <row r="198" spans="1:8" x14ac:dyDescent="0.25">
      <c r="A198">
        <v>197</v>
      </c>
      <c r="B198" t="s">
        <v>2688</v>
      </c>
      <c r="C198" t="s">
        <v>133</v>
      </c>
      <c r="D198" t="s">
        <v>2689</v>
      </c>
      <c r="E198" t="s">
        <v>77</v>
      </c>
      <c r="F198">
        <v>3</v>
      </c>
      <c r="G198">
        <v>167</v>
      </c>
      <c r="H198">
        <v>54</v>
      </c>
    </row>
    <row r="199" spans="1:8" x14ac:dyDescent="0.25">
      <c r="A199">
        <v>198</v>
      </c>
      <c r="B199" t="s">
        <v>2237</v>
      </c>
      <c r="C199" t="s">
        <v>790</v>
      </c>
      <c r="D199" t="s">
        <v>2238</v>
      </c>
      <c r="E199" t="s">
        <v>1578</v>
      </c>
      <c r="F199">
        <v>59</v>
      </c>
      <c r="G199">
        <v>190</v>
      </c>
      <c r="H199">
        <v>249</v>
      </c>
    </row>
    <row r="200" spans="1:8" x14ac:dyDescent="0.25">
      <c r="A200">
        <v>199</v>
      </c>
      <c r="B200" t="s">
        <v>2692</v>
      </c>
      <c r="C200" t="s">
        <v>2693</v>
      </c>
      <c r="D200" t="s">
        <v>2694</v>
      </c>
      <c r="E200" t="s">
        <v>24</v>
      </c>
      <c r="F200">
        <v>157</v>
      </c>
      <c r="G200">
        <v>157</v>
      </c>
      <c r="H200">
        <v>3</v>
      </c>
    </row>
    <row r="201" spans="1:8" x14ac:dyDescent="0.25">
      <c r="A201">
        <v>200</v>
      </c>
      <c r="B201" t="s">
        <v>2698</v>
      </c>
      <c r="C201" t="s">
        <v>535</v>
      </c>
      <c r="D201" t="s">
        <v>2699</v>
      </c>
      <c r="E201" t="s">
        <v>1102</v>
      </c>
      <c r="F201">
        <v>8</v>
      </c>
      <c r="G201">
        <v>178</v>
      </c>
      <c r="H201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67D95-0103-42DE-87E5-2D8F53A4365A}">
  <sheetPr codeName="Planilha15"/>
  <dimension ref="A1:I101"/>
  <sheetViews>
    <sheetView showGridLines="0" topLeftCell="D1" zoomScale="90" zoomScaleNormal="90" workbookViewId="0">
      <selection activeCell="C2" sqref="C2"/>
    </sheetView>
  </sheetViews>
  <sheetFormatPr defaultRowHeight="15" x14ac:dyDescent="0.25"/>
  <cols>
    <col min="1" max="1" width="12.140625" bestFit="1" customWidth="1"/>
    <col min="2" max="2" width="35.28515625" bestFit="1" customWidth="1"/>
    <col min="3" max="3" width="61.42578125" bestFit="1" customWidth="1"/>
    <col min="4" max="4" width="81.140625" bestFit="1" customWidth="1"/>
    <col min="5" max="5" width="44.140625" bestFit="1" customWidth="1"/>
    <col min="6" max="6" width="14.7109375" bestFit="1" customWidth="1"/>
    <col min="7" max="7" width="13.5703125" bestFit="1" customWidth="1"/>
    <col min="8" max="8" width="13.7109375" bestFit="1" customWidth="1"/>
    <col min="9" max="9" width="11.85546875" bestFit="1" customWidth="1"/>
    <col min="10" max="10" width="14.140625" bestFit="1" customWidth="1"/>
  </cols>
  <sheetData>
    <row r="1" spans="1:9" x14ac:dyDescent="0.25">
      <c r="A1" t="s">
        <v>2877</v>
      </c>
      <c r="B1" t="s">
        <v>2878</v>
      </c>
      <c r="C1" t="s">
        <v>2879</v>
      </c>
      <c r="D1" t="s">
        <v>2880</v>
      </c>
      <c r="E1" t="s">
        <v>2881</v>
      </c>
      <c r="F1" t="s">
        <v>2882</v>
      </c>
      <c r="G1" t="s">
        <v>2737</v>
      </c>
      <c r="H1" t="s">
        <v>2883</v>
      </c>
      <c r="I1" t="s">
        <v>521</v>
      </c>
    </row>
    <row r="2" spans="1:9" x14ac:dyDescent="0.25">
      <c r="A2">
        <v>1</v>
      </c>
      <c r="B2" t="s">
        <v>2884</v>
      </c>
      <c r="C2" t="s">
        <v>10</v>
      </c>
      <c r="D2" t="s">
        <v>11</v>
      </c>
      <c r="E2" t="s">
        <v>12</v>
      </c>
      <c r="F2">
        <v>1</v>
      </c>
      <c r="G2" t="str">
        <f>IFERROR(INDEX(Tabela_Deezer!B:B,MATCH(Deezer[[#This Row],[Link Externo]],Tabela_Deezer!C:C,0),1),"-")</f>
        <v>-</v>
      </c>
      <c r="H2">
        <v>130</v>
      </c>
      <c r="I2" s="3">
        <v>45803</v>
      </c>
    </row>
    <row r="3" spans="1:9" x14ac:dyDescent="0.25">
      <c r="A3">
        <v>2</v>
      </c>
      <c r="B3" t="s">
        <v>2886</v>
      </c>
      <c r="C3" t="s">
        <v>22</v>
      </c>
      <c r="D3" t="s">
        <v>23</v>
      </c>
      <c r="E3" t="s">
        <v>24</v>
      </c>
      <c r="F3">
        <v>1</v>
      </c>
      <c r="G3" t="str">
        <f>IFERROR(INDEX(Tabela_Deezer!B:B,MATCH(Deezer[[#This Row],[Link Externo]],Tabela_Deezer!C:C,0),1),"-")</f>
        <v>-</v>
      </c>
      <c r="H3">
        <v>183</v>
      </c>
      <c r="I3" s="3">
        <v>45779</v>
      </c>
    </row>
    <row r="4" spans="1:9" x14ac:dyDescent="0.25">
      <c r="A4">
        <v>3</v>
      </c>
      <c r="B4" t="s">
        <v>2890</v>
      </c>
      <c r="C4" t="s">
        <v>2891</v>
      </c>
      <c r="D4" t="s">
        <v>1051</v>
      </c>
      <c r="E4" t="s">
        <v>12</v>
      </c>
      <c r="F4">
        <v>2</v>
      </c>
      <c r="G4">
        <f>IFERROR(INDEX(Tabela_Deezer!B:B,MATCH(Deezer[[#This Row],[Link Externo]],Tabela_Deezer!C:C,0),1),"-")</f>
        <v>4</v>
      </c>
      <c r="H4">
        <v>17</v>
      </c>
      <c r="I4" s="3">
        <v>45894</v>
      </c>
    </row>
    <row r="5" spans="1:9" x14ac:dyDescent="0.25">
      <c r="A5">
        <v>4</v>
      </c>
      <c r="B5" t="s">
        <v>2885</v>
      </c>
      <c r="C5" t="s">
        <v>33</v>
      </c>
      <c r="D5" t="s">
        <v>34</v>
      </c>
      <c r="E5" t="s">
        <v>12</v>
      </c>
      <c r="F5">
        <v>1</v>
      </c>
      <c r="G5" t="str">
        <f>IFERROR(INDEX(Tabela_Deezer!B:B,MATCH(Deezer[[#This Row],[Link Externo]],Tabela_Deezer!C:C,0),1),"-")</f>
        <v>-</v>
      </c>
      <c r="H5">
        <v>374</v>
      </c>
      <c r="I5" s="3">
        <v>45554</v>
      </c>
    </row>
    <row r="6" spans="1:9" x14ac:dyDescent="0.25">
      <c r="A6">
        <v>5</v>
      </c>
      <c r="B6" t="s">
        <v>2887</v>
      </c>
      <c r="C6" t="s">
        <v>43</v>
      </c>
      <c r="D6" t="s">
        <v>44</v>
      </c>
      <c r="E6" t="s">
        <v>31</v>
      </c>
      <c r="F6">
        <v>2</v>
      </c>
      <c r="G6" t="str">
        <f>IFERROR(INDEX(Tabela_Deezer!B:B,MATCH(Deezer[[#This Row],[Link Externo]],Tabela_Deezer!C:C,0),1),"-")</f>
        <v>-</v>
      </c>
      <c r="H6">
        <v>346</v>
      </c>
      <c r="I6" s="3">
        <v>45620</v>
      </c>
    </row>
    <row r="7" spans="1:9" x14ac:dyDescent="0.25">
      <c r="A7">
        <v>6</v>
      </c>
      <c r="B7" t="s">
        <v>2888</v>
      </c>
      <c r="C7" t="s">
        <v>36</v>
      </c>
      <c r="D7" t="s">
        <v>37</v>
      </c>
      <c r="E7" t="s">
        <v>12</v>
      </c>
      <c r="F7">
        <v>1</v>
      </c>
      <c r="G7" t="str">
        <f>IFERROR(INDEX(Tabela_Deezer!B:B,MATCH(Deezer[[#This Row],[Link Externo]],Tabela_Deezer!C:C,0),1),"-")</f>
        <v>-</v>
      </c>
      <c r="H7">
        <v>220</v>
      </c>
      <c r="I7" s="3">
        <v>45754</v>
      </c>
    </row>
    <row r="8" spans="1:9" x14ac:dyDescent="0.25">
      <c r="A8">
        <v>7</v>
      </c>
      <c r="B8" t="s">
        <v>2889</v>
      </c>
      <c r="C8" t="s">
        <v>33</v>
      </c>
      <c r="D8" t="s">
        <v>79</v>
      </c>
      <c r="E8" t="s">
        <v>12</v>
      </c>
      <c r="F8">
        <v>2</v>
      </c>
      <c r="G8" t="str">
        <f>IFERROR(INDEX(Tabela_Deezer!B:B,MATCH(Deezer[[#This Row],[Link Externo]],Tabela_Deezer!C:C,0),1),"-")</f>
        <v>-</v>
      </c>
      <c r="H8">
        <v>205</v>
      </c>
      <c r="I8" s="3">
        <v>45709</v>
      </c>
    </row>
    <row r="9" spans="1:9" x14ac:dyDescent="0.25">
      <c r="A9">
        <v>8</v>
      </c>
      <c r="B9" t="s">
        <v>2892</v>
      </c>
      <c r="C9" t="s">
        <v>65</v>
      </c>
      <c r="D9" t="s">
        <v>66</v>
      </c>
      <c r="E9" t="s">
        <v>67</v>
      </c>
      <c r="F9">
        <v>6</v>
      </c>
      <c r="G9" t="str">
        <f>IFERROR(INDEX(Tabela_Deezer!B:B,MATCH(Deezer[[#This Row],[Link Externo]],Tabela_Deezer!C:C,0),1),"-")</f>
        <v>-</v>
      </c>
      <c r="H9">
        <v>197</v>
      </c>
      <c r="I9" s="3">
        <v>45794</v>
      </c>
    </row>
    <row r="10" spans="1:9" x14ac:dyDescent="0.25">
      <c r="A10">
        <v>9</v>
      </c>
      <c r="B10" t="s">
        <v>2893</v>
      </c>
      <c r="C10" t="s">
        <v>43</v>
      </c>
      <c r="D10" t="s">
        <v>56</v>
      </c>
      <c r="E10" t="s">
        <v>31</v>
      </c>
      <c r="F10">
        <v>4</v>
      </c>
      <c r="G10" t="str">
        <f>IFERROR(INDEX(Tabela_Deezer!B:B,MATCH(Deezer[[#This Row],[Link Externo]],Tabela_Deezer!C:C,0),1),"-")</f>
        <v>-</v>
      </c>
      <c r="H10">
        <v>176</v>
      </c>
      <c r="I10" s="3">
        <v>45765</v>
      </c>
    </row>
    <row r="11" spans="1:9" x14ac:dyDescent="0.25">
      <c r="A11">
        <v>10</v>
      </c>
      <c r="B11" t="s">
        <v>2899</v>
      </c>
      <c r="C11" t="s">
        <v>26</v>
      </c>
      <c r="D11" t="s">
        <v>27</v>
      </c>
      <c r="E11" t="s">
        <v>28</v>
      </c>
      <c r="F11">
        <v>10</v>
      </c>
      <c r="G11" t="str">
        <f>IFERROR(INDEX(Tabela_Deezer!B:B,MATCH(Deezer[[#This Row],[Link Externo]],Tabela_Deezer!C:C,0),1),"-")</f>
        <v>-</v>
      </c>
      <c r="H11">
        <v>98</v>
      </c>
      <c r="I11" s="3">
        <v>45898</v>
      </c>
    </row>
    <row r="12" spans="1:9" x14ac:dyDescent="0.25">
      <c r="A12">
        <v>11</v>
      </c>
      <c r="B12" t="s">
        <v>2935</v>
      </c>
      <c r="C12" t="s">
        <v>164</v>
      </c>
      <c r="D12" t="s">
        <v>165</v>
      </c>
      <c r="E12" t="s">
        <v>164</v>
      </c>
      <c r="F12">
        <v>11</v>
      </c>
      <c r="G12" t="str">
        <f>IFERROR(INDEX(Tabela_Deezer!B:B,MATCH(Deezer[[#This Row],[Link Externo]],Tabela_Deezer!C:C,0),1),"-")</f>
        <v>-</v>
      </c>
      <c r="H12">
        <v>163</v>
      </c>
      <c r="I12" s="3">
        <v>45861</v>
      </c>
    </row>
    <row r="13" spans="1:9" x14ac:dyDescent="0.25">
      <c r="A13">
        <v>12</v>
      </c>
      <c r="B13" t="s">
        <v>2898</v>
      </c>
      <c r="C13" t="s">
        <v>152</v>
      </c>
      <c r="D13" t="s">
        <v>153</v>
      </c>
      <c r="E13" t="s">
        <v>12</v>
      </c>
      <c r="F13">
        <v>5</v>
      </c>
      <c r="G13" t="str">
        <f>IFERROR(INDEX(Tabela_Deezer!B:B,MATCH(Deezer[[#This Row],[Link Externo]],Tabela_Deezer!C:C,0),1),"-")</f>
        <v>-</v>
      </c>
      <c r="H13">
        <v>298</v>
      </c>
      <c r="I13" s="3">
        <v>45640</v>
      </c>
    </row>
    <row r="14" spans="1:9" x14ac:dyDescent="0.25">
      <c r="A14">
        <v>13</v>
      </c>
      <c r="B14" t="s">
        <v>2894</v>
      </c>
      <c r="C14" t="s">
        <v>1094</v>
      </c>
      <c r="D14" t="s">
        <v>1095</v>
      </c>
      <c r="E14" t="s">
        <v>12</v>
      </c>
      <c r="F14">
        <v>1</v>
      </c>
      <c r="G14" t="str">
        <f>IFERROR(INDEX(Tabela_Deezer!B:B,MATCH(Deezer[[#This Row],[Link Externo]],Tabela_Deezer!C:C,0),1),"-")</f>
        <v>-</v>
      </c>
      <c r="H14">
        <v>388</v>
      </c>
      <c r="I14" s="3">
        <v>45549</v>
      </c>
    </row>
    <row r="15" spans="1:9" x14ac:dyDescent="0.25">
      <c r="A15">
        <v>14</v>
      </c>
      <c r="B15" t="s">
        <v>2896</v>
      </c>
      <c r="C15" t="s">
        <v>2897</v>
      </c>
      <c r="D15" t="s">
        <v>19</v>
      </c>
      <c r="E15" t="s">
        <v>20</v>
      </c>
      <c r="F15">
        <v>5</v>
      </c>
      <c r="G15">
        <f>IFERROR(INDEX(Tabela_Deezer!B:B,MATCH(Deezer[[#This Row],[Link Externo]],Tabela_Deezer!C:C,0),1),"-")</f>
        <v>19</v>
      </c>
      <c r="H15">
        <v>69</v>
      </c>
      <c r="I15" s="3">
        <v>45869</v>
      </c>
    </row>
    <row r="16" spans="1:9" x14ac:dyDescent="0.25">
      <c r="A16">
        <v>15</v>
      </c>
      <c r="B16" t="s">
        <v>2932</v>
      </c>
      <c r="C16" t="s">
        <v>319</v>
      </c>
      <c r="D16" t="s">
        <v>320</v>
      </c>
      <c r="E16" t="s">
        <v>321</v>
      </c>
      <c r="F16">
        <v>10</v>
      </c>
      <c r="G16" t="str">
        <f>IFERROR(INDEX(Tabela_Deezer!B:B,MATCH(Deezer[[#This Row],[Link Externo]],Tabela_Deezer!C:C,0),1),"-")</f>
        <v>-</v>
      </c>
      <c r="H16">
        <v>43</v>
      </c>
      <c r="I16" s="3">
        <v>45901</v>
      </c>
    </row>
    <row r="17" spans="1:9" x14ac:dyDescent="0.25">
      <c r="A17">
        <v>16</v>
      </c>
      <c r="B17" t="s">
        <v>2903</v>
      </c>
      <c r="C17" t="s">
        <v>33</v>
      </c>
      <c r="D17" t="s">
        <v>474</v>
      </c>
      <c r="E17" t="s">
        <v>12</v>
      </c>
      <c r="F17">
        <v>6</v>
      </c>
      <c r="G17" t="str">
        <f>IFERROR(INDEX(Tabela_Deezer!B:B,MATCH(Deezer[[#This Row],[Link Externo]],Tabela_Deezer!C:C,0),1),"-")</f>
        <v>-</v>
      </c>
      <c r="H17">
        <v>291</v>
      </c>
      <c r="I17" s="3">
        <v>45704</v>
      </c>
    </row>
    <row r="18" spans="1:9" x14ac:dyDescent="0.25">
      <c r="A18">
        <v>17</v>
      </c>
      <c r="B18" t="s">
        <v>2901</v>
      </c>
      <c r="C18" t="s">
        <v>240</v>
      </c>
      <c r="D18" t="s">
        <v>241</v>
      </c>
      <c r="E18" t="s">
        <v>88</v>
      </c>
      <c r="F18">
        <v>4</v>
      </c>
      <c r="G18" t="str">
        <f>IFERROR(INDEX(Tabela_Deezer!B:B,MATCH(Deezer[[#This Row],[Link Externo]],Tabela_Deezer!C:C,0),1),"-")</f>
        <v>-</v>
      </c>
      <c r="H18">
        <v>507</v>
      </c>
      <c r="I18" s="3">
        <v>45616</v>
      </c>
    </row>
    <row r="19" spans="1:9" x14ac:dyDescent="0.25">
      <c r="A19">
        <v>18</v>
      </c>
      <c r="B19" t="s">
        <v>2895</v>
      </c>
      <c r="C19" t="s">
        <v>81</v>
      </c>
      <c r="D19" t="s">
        <v>82</v>
      </c>
      <c r="E19" t="s">
        <v>67</v>
      </c>
      <c r="F19">
        <v>8</v>
      </c>
      <c r="G19" t="str">
        <f>IFERROR(INDEX(Tabela_Deezer!B:B,MATCH(Deezer[[#This Row],[Link Externo]],Tabela_Deezer!C:C,0),1),"-")</f>
        <v>-</v>
      </c>
      <c r="H19">
        <v>225</v>
      </c>
      <c r="I19" s="3">
        <v>45835</v>
      </c>
    </row>
    <row r="20" spans="1:9" x14ac:dyDescent="0.25">
      <c r="A20">
        <v>19</v>
      </c>
      <c r="B20" t="s">
        <v>2928</v>
      </c>
      <c r="C20" t="s">
        <v>107</v>
      </c>
      <c r="D20" t="s">
        <v>108</v>
      </c>
      <c r="E20" t="s">
        <v>109</v>
      </c>
      <c r="F20">
        <v>6</v>
      </c>
      <c r="G20" t="str">
        <f>IFERROR(INDEX(Tabela_Deezer!B:B,MATCH(Deezer[[#This Row],[Link Externo]],Tabela_Deezer!C:C,0),1),"-")</f>
        <v>-</v>
      </c>
      <c r="H20">
        <v>131</v>
      </c>
      <c r="I20" s="3">
        <v>45832</v>
      </c>
    </row>
    <row r="21" spans="1:9" x14ac:dyDescent="0.25">
      <c r="A21">
        <v>20</v>
      </c>
      <c r="B21" t="s">
        <v>2908</v>
      </c>
      <c r="C21" t="s">
        <v>93</v>
      </c>
      <c r="D21" t="s">
        <v>94</v>
      </c>
      <c r="E21" t="s">
        <v>24</v>
      </c>
      <c r="F21">
        <v>18</v>
      </c>
      <c r="G21" t="str">
        <f>IFERROR(INDEX(Tabela_Deezer!B:B,MATCH(Deezer[[#This Row],[Link Externo]],Tabela_Deezer!C:C,0),1),"-")</f>
        <v>-</v>
      </c>
      <c r="H21">
        <v>25</v>
      </c>
      <c r="I21" s="3">
        <v>45907</v>
      </c>
    </row>
    <row r="22" spans="1:9" x14ac:dyDescent="0.25">
      <c r="A22">
        <v>21</v>
      </c>
      <c r="B22" t="s">
        <v>2931</v>
      </c>
      <c r="C22" t="s">
        <v>170</v>
      </c>
      <c r="D22" t="s">
        <v>171</v>
      </c>
      <c r="E22" t="s">
        <v>170</v>
      </c>
      <c r="F22">
        <v>16</v>
      </c>
      <c r="G22" t="str">
        <f>IFERROR(INDEX(Tabela_Deezer!B:B,MATCH(Deezer[[#This Row],[Link Externo]],Tabela_Deezer!C:C,0),1),"-")</f>
        <v>-</v>
      </c>
      <c r="H22">
        <v>101</v>
      </c>
      <c r="I22" s="3">
        <v>45898</v>
      </c>
    </row>
    <row r="23" spans="1:9" x14ac:dyDescent="0.25">
      <c r="A23">
        <v>22</v>
      </c>
      <c r="B23" t="s">
        <v>2913</v>
      </c>
      <c r="C23" t="s">
        <v>33</v>
      </c>
      <c r="D23" t="s">
        <v>1054</v>
      </c>
      <c r="E23" t="s">
        <v>12</v>
      </c>
      <c r="F23">
        <v>14</v>
      </c>
      <c r="G23" t="str">
        <f>IFERROR(INDEX(Tabela_Deezer!B:B,MATCH(Deezer[[#This Row],[Link Externo]],Tabela_Deezer!C:C,0),1),"-")</f>
        <v>-</v>
      </c>
      <c r="H23">
        <v>126</v>
      </c>
      <c r="I23" s="3">
        <v>45907</v>
      </c>
    </row>
    <row r="24" spans="1:9" x14ac:dyDescent="0.25">
      <c r="A24">
        <v>23</v>
      </c>
      <c r="B24" t="s">
        <v>2900</v>
      </c>
      <c r="C24" t="s">
        <v>69</v>
      </c>
      <c r="D24" t="s">
        <v>70</v>
      </c>
      <c r="E24" t="s">
        <v>67</v>
      </c>
      <c r="F24">
        <v>8</v>
      </c>
      <c r="G24" t="str">
        <f>IFERROR(INDEX(Tabela_Deezer!B:B,MATCH(Deezer[[#This Row],[Link Externo]],Tabela_Deezer!C:C,0),1),"-")</f>
        <v>-</v>
      </c>
      <c r="H24">
        <v>120</v>
      </c>
      <c r="I24" s="3">
        <v>45802</v>
      </c>
    </row>
    <row r="25" spans="1:9" x14ac:dyDescent="0.25">
      <c r="A25">
        <v>24</v>
      </c>
      <c r="B25" t="s">
        <v>2947</v>
      </c>
      <c r="C25" t="s">
        <v>388</v>
      </c>
      <c r="D25" t="s">
        <v>389</v>
      </c>
      <c r="E25" t="s">
        <v>4373</v>
      </c>
      <c r="F25">
        <v>8</v>
      </c>
      <c r="G25" t="str">
        <f>IFERROR(INDEX(Tabela_Deezer!B:B,MATCH(Deezer[[#This Row],[Link Externo]],Tabela_Deezer!C:C,0),1),"-")</f>
        <v>-</v>
      </c>
      <c r="H25">
        <v>204</v>
      </c>
      <c r="I25" s="3">
        <v>45769</v>
      </c>
    </row>
    <row r="26" spans="1:9" x14ac:dyDescent="0.25">
      <c r="A26">
        <v>25</v>
      </c>
      <c r="B26" t="s">
        <v>2919</v>
      </c>
      <c r="C26" t="s">
        <v>43</v>
      </c>
      <c r="D26" t="s">
        <v>113</v>
      </c>
      <c r="E26" t="s">
        <v>31</v>
      </c>
      <c r="F26">
        <v>18</v>
      </c>
      <c r="G26" t="str">
        <f>IFERROR(INDEX(Tabela_Deezer!B:B,MATCH(Deezer[[#This Row],[Link Externo]],Tabela_Deezer!C:C,0),1),"-")</f>
        <v>-</v>
      </c>
      <c r="H26">
        <v>332</v>
      </c>
      <c r="I26" s="3">
        <v>45840</v>
      </c>
    </row>
    <row r="27" spans="1:9" x14ac:dyDescent="0.25">
      <c r="A27">
        <v>26</v>
      </c>
      <c r="B27" t="s">
        <v>2902</v>
      </c>
      <c r="C27" t="s">
        <v>100</v>
      </c>
      <c r="D27" t="s">
        <v>101</v>
      </c>
      <c r="E27" t="s">
        <v>88</v>
      </c>
      <c r="F27">
        <v>9</v>
      </c>
      <c r="G27" t="str">
        <f>IFERROR(INDEX(Tabela_Deezer!B:B,MATCH(Deezer[[#This Row],[Link Externo]],Tabela_Deezer!C:C,0),1),"-")</f>
        <v>-</v>
      </c>
      <c r="H27">
        <v>160</v>
      </c>
      <c r="I27" s="3">
        <v>45879</v>
      </c>
    </row>
    <row r="28" spans="1:9" x14ac:dyDescent="0.25">
      <c r="A28">
        <v>27</v>
      </c>
      <c r="B28" t="s">
        <v>2904</v>
      </c>
      <c r="C28" t="s">
        <v>49</v>
      </c>
      <c r="D28" t="s">
        <v>50</v>
      </c>
      <c r="E28" t="s">
        <v>24</v>
      </c>
      <c r="F28">
        <v>17</v>
      </c>
      <c r="G28" t="str">
        <f>IFERROR(INDEX(Tabela_Deezer!B:B,MATCH(Deezer[[#This Row],[Link Externo]],Tabela_Deezer!C:C,0),1),"-")</f>
        <v>-</v>
      </c>
      <c r="H28">
        <v>39</v>
      </c>
      <c r="I28" s="3">
        <v>45886</v>
      </c>
    </row>
    <row r="29" spans="1:9" x14ac:dyDescent="0.25">
      <c r="A29">
        <v>28</v>
      </c>
      <c r="B29" t="s">
        <v>2906</v>
      </c>
      <c r="C29" t="s">
        <v>62</v>
      </c>
      <c r="D29" t="s">
        <v>63</v>
      </c>
      <c r="E29" t="s">
        <v>24</v>
      </c>
      <c r="F29">
        <v>17</v>
      </c>
      <c r="G29" t="str">
        <f>IFERROR(INDEX(Tabela_Deezer!B:B,MATCH(Deezer[[#This Row],[Link Externo]],Tabela_Deezer!C:C,0),1),"-")</f>
        <v>-</v>
      </c>
      <c r="H29">
        <v>311</v>
      </c>
      <c r="I29" s="3">
        <v>45907</v>
      </c>
    </row>
    <row r="30" spans="1:9" x14ac:dyDescent="0.25">
      <c r="A30">
        <v>29</v>
      </c>
      <c r="B30" t="s">
        <v>2907</v>
      </c>
      <c r="C30" t="s">
        <v>1071</v>
      </c>
      <c r="D30" t="s">
        <v>1072</v>
      </c>
      <c r="E30" t="s">
        <v>24</v>
      </c>
      <c r="F30">
        <v>19</v>
      </c>
      <c r="G30" t="str">
        <f>IFERROR(INDEX(Tabela_Deezer!B:B,MATCH(Deezer[[#This Row],[Link Externo]],Tabela_Deezer!C:C,0),1),"-")</f>
        <v>-</v>
      </c>
      <c r="H30">
        <v>718</v>
      </c>
      <c r="I30" s="3">
        <v>45264</v>
      </c>
    </row>
    <row r="31" spans="1:9" x14ac:dyDescent="0.25">
      <c r="A31">
        <v>30</v>
      </c>
      <c r="B31" t="s">
        <v>2905</v>
      </c>
      <c r="C31" t="s">
        <v>46</v>
      </c>
      <c r="D31" t="s">
        <v>47</v>
      </c>
      <c r="E31" t="s">
        <v>12</v>
      </c>
      <c r="F31">
        <v>9</v>
      </c>
      <c r="G31" t="str">
        <f>IFERROR(INDEX(Tabela_Deezer!B:B,MATCH(Deezer[[#This Row],[Link Externo]],Tabela_Deezer!C:C,0),1),"-")</f>
        <v>-</v>
      </c>
      <c r="H31">
        <v>101</v>
      </c>
      <c r="I31" s="3">
        <v>45828</v>
      </c>
    </row>
    <row r="32" spans="1:9" x14ac:dyDescent="0.25">
      <c r="A32">
        <v>31</v>
      </c>
      <c r="B32" t="s">
        <v>2971</v>
      </c>
      <c r="C32" t="s">
        <v>429</v>
      </c>
      <c r="D32" t="s">
        <v>430</v>
      </c>
      <c r="E32" t="s">
        <v>131</v>
      </c>
      <c r="F32">
        <v>8</v>
      </c>
      <c r="G32" t="str">
        <f>IFERROR(INDEX(Tabela_Deezer!B:B,MATCH(Deezer[[#This Row],[Link Externo]],Tabela_Deezer!C:C,0),1),"-")</f>
        <v>-</v>
      </c>
      <c r="H32">
        <v>310</v>
      </c>
      <c r="I32" s="3">
        <v>45754</v>
      </c>
    </row>
    <row r="33" spans="1:9" x14ac:dyDescent="0.25">
      <c r="A33">
        <v>32</v>
      </c>
      <c r="B33" t="s">
        <v>2909</v>
      </c>
      <c r="C33" t="s">
        <v>43</v>
      </c>
      <c r="D33" t="s">
        <v>84</v>
      </c>
      <c r="E33" t="s">
        <v>31</v>
      </c>
      <c r="F33">
        <v>7</v>
      </c>
      <c r="G33" t="str">
        <f>IFERROR(INDEX(Tabela_Deezer!B:B,MATCH(Deezer[[#This Row],[Link Externo]],Tabela_Deezer!C:C,0),1),"-")</f>
        <v>-</v>
      </c>
      <c r="H33">
        <v>255</v>
      </c>
      <c r="I33" s="3">
        <v>45794</v>
      </c>
    </row>
    <row r="34" spans="1:9" x14ac:dyDescent="0.25">
      <c r="A34">
        <v>33</v>
      </c>
      <c r="B34" t="s">
        <v>2910</v>
      </c>
      <c r="C34" t="s">
        <v>136</v>
      </c>
      <c r="D34" t="s">
        <v>137</v>
      </c>
      <c r="E34" t="s">
        <v>2911</v>
      </c>
      <c r="F34">
        <v>12</v>
      </c>
      <c r="G34">
        <f>IFERROR(INDEX(Tabela_Deezer!B:B,MATCH(Deezer[[#This Row],[Link Externo]],Tabela_Deezer!C:C,0),1),"-")</f>
        <v>29</v>
      </c>
      <c r="H34">
        <v>73</v>
      </c>
      <c r="I34" s="3">
        <v>45844</v>
      </c>
    </row>
    <row r="35" spans="1:9" x14ac:dyDescent="0.25">
      <c r="A35">
        <v>34</v>
      </c>
      <c r="B35" t="s">
        <v>2975</v>
      </c>
      <c r="C35" t="s">
        <v>2976</v>
      </c>
      <c r="D35" t="s">
        <v>2977</v>
      </c>
      <c r="E35" t="s">
        <v>105</v>
      </c>
      <c r="F35">
        <v>5</v>
      </c>
      <c r="G35" t="str">
        <f>IFERROR(INDEX(Tabela_Deezer!B:B,MATCH(Deezer[[#This Row],[Link Externo]],Tabela_Deezer!C:C,0),1),"-")</f>
        <v>-</v>
      </c>
      <c r="H35">
        <v>429</v>
      </c>
      <c r="I35" s="3">
        <v>45502</v>
      </c>
    </row>
    <row r="36" spans="1:9" x14ac:dyDescent="0.25">
      <c r="A36">
        <v>35</v>
      </c>
      <c r="B36" t="s">
        <v>2942</v>
      </c>
      <c r="C36" t="s">
        <v>230</v>
      </c>
      <c r="D36" t="s">
        <v>231</v>
      </c>
      <c r="E36" t="s">
        <v>1311</v>
      </c>
      <c r="F36">
        <v>2</v>
      </c>
      <c r="G36" t="str">
        <f>IFERROR(INDEX(Tabela_Deezer!B:B,MATCH(Deezer[[#This Row],[Link Externo]],Tabela_Deezer!C:C,0),1),"-")</f>
        <v>-</v>
      </c>
      <c r="H36">
        <v>388</v>
      </c>
      <c r="I36" s="3">
        <v>45572</v>
      </c>
    </row>
    <row r="37" spans="1:9" x14ac:dyDescent="0.25">
      <c r="A37">
        <v>36</v>
      </c>
      <c r="B37" t="s">
        <v>4487</v>
      </c>
      <c r="C37" t="s">
        <v>4488</v>
      </c>
      <c r="D37" t="s">
        <v>4489</v>
      </c>
      <c r="E37" t="s">
        <v>88</v>
      </c>
      <c r="F37">
        <v>36</v>
      </c>
      <c r="G37" t="str">
        <f>IFERROR(INDEX(Tabela_Deezer!B:B,MATCH(Deezer[[#This Row],[Link Externo]],Tabela_Deezer!C:C,0),1),"-")</f>
        <v>-</v>
      </c>
      <c r="H37">
        <v>8</v>
      </c>
      <c r="I37" s="3">
        <v>45904</v>
      </c>
    </row>
    <row r="38" spans="1:9" x14ac:dyDescent="0.25">
      <c r="A38">
        <v>37</v>
      </c>
      <c r="B38" t="s">
        <v>2918</v>
      </c>
      <c r="C38" t="s">
        <v>391</v>
      </c>
      <c r="D38" t="s">
        <v>392</v>
      </c>
      <c r="E38" t="s">
        <v>393</v>
      </c>
      <c r="F38">
        <v>13</v>
      </c>
      <c r="G38" t="str">
        <f>IFERROR(INDEX(Tabela_Deezer!B:B,MATCH(Deezer[[#This Row],[Link Externo]],Tabela_Deezer!C:C,0),1),"-")</f>
        <v>-</v>
      </c>
      <c r="H38">
        <v>330</v>
      </c>
      <c r="I38" s="3">
        <v>45683</v>
      </c>
    </row>
    <row r="39" spans="1:9" x14ac:dyDescent="0.25">
      <c r="A39">
        <v>38</v>
      </c>
      <c r="B39" t="s">
        <v>3729</v>
      </c>
      <c r="C39" t="s">
        <v>763</v>
      </c>
      <c r="D39" t="s">
        <v>3223</v>
      </c>
      <c r="E39" t="s">
        <v>131</v>
      </c>
      <c r="F39">
        <v>7</v>
      </c>
      <c r="G39" t="str">
        <f>IFERROR(INDEX(Tabela_Deezer!B:B,MATCH(Deezer[[#This Row],[Link Externo]],Tabela_Deezer!C:C,0),1),"-")</f>
        <v>-</v>
      </c>
      <c r="H39">
        <v>767</v>
      </c>
      <c r="I39" s="3">
        <v>45376</v>
      </c>
    </row>
    <row r="40" spans="1:9" x14ac:dyDescent="0.25">
      <c r="A40">
        <v>39</v>
      </c>
      <c r="B40" t="s">
        <v>2920</v>
      </c>
      <c r="C40" t="s">
        <v>122</v>
      </c>
      <c r="D40" t="s">
        <v>123</v>
      </c>
      <c r="E40" t="s">
        <v>24</v>
      </c>
      <c r="F40">
        <v>22</v>
      </c>
      <c r="G40" t="str">
        <f>IFERROR(INDEX(Tabela_Deezer!B:B,MATCH(Deezer[[#This Row],[Link Externo]],Tabela_Deezer!C:C,0),1),"-")</f>
        <v>-</v>
      </c>
      <c r="H40">
        <v>30</v>
      </c>
      <c r="I40" s="3">
        <v>45886</v>
      </c>
    </row>
    <row r="41" spans="1:9" x14ac:dyDescent="0.25">
      <c r="A41">
        <v>40</v>
      </c>
      <c r="B41" t="s">
        <v>2914</v>
      </c>
      <c r="C41" t="s">
        <v>409</v>
      </c>
      <c r="D41" t="s">
        <v>410</v>
      </c>
      <c r="E41" t="s">
        <v>31</v>
      </c>
      <c r="F41">
        <v>28</v>
      </c>
      <c r="G41" t="str">
        <f>IFERROR(INDEX(Tabela_Deezer!B:B,MATCH(Deezer[[#This Row],[Link Externo]],Tabela_Deezer!C:C,0),1),"-")</f>
        <v>-</v>
      </c>
      <c r="H41">
        <v>328</v>
      </c>
      <c r="I41" s="3">
        <v>45892</v>
      </c>
    </row>
    <row r="42" spans="1:9" x14ac:dyDescent="0.25">
      <c r="A42">
        <v>41</v>
      </c>
      <c r="B42" t="s">
        <v>2924</v>
      </c>
      <c r="C42" t="s">
        <v>2925</v>
      </c>
      <c r="D42" t="s">
        <v>2926</v>
      </c>
      <c r="E42" t="s">
        <v>138</v>
      </c>
      <c r="F42">
        <v>28</v>
      </c>
      <c r="G42" t="str">
        <f>IFERROR(INDEX(Tabela_Deezer!B:B,MATCH(Deezer[[#This Row],[Link Externo]],Tabela_Deezer!C:C,0),1),"-")</f>
        <v>-</v>
      </c>
      <c r="H42">
        <v>129</v>
      </c>
      <c r="I42" s="3">
        <v>45872</v>
      </c>
    </row>
    <row r="43" spans="1:9" x14ac:dyDescent="0.25">
      <c r="A43">
        <v>42</v>
      </c>
      <c r="B43" t="s">
        <v>2915</v>
      </c>
      <c r="C43" t="s">
        <v>93</v>
      </c>
      <c r="D43" t="s">
        <v>2916</v>
      </c>
      <c r="E43" t="s">
        <v>24</v>
      </c>
      <c r="F43">
        <v>6</v>
      </c>
      <c r="G43" t="str">
        <f>IFERROR(INDEX(Tabela_Deezer!B:B,MATCH(Deezer[[#This Row],[Link Externo]],Tabela_Deezer!C:C,0),1),"-")</f>
        <v>-</v>
      </c>
      <c r="H43">
        <v>212</v>
      </c>
      <c r="I43" s="3">
        <v>45753</v>
      </c>
    </row>
    <row r="44" spans="1:9" x14ac:dyDescent="0.25">
      <c r="A44">
        <v>43</v>
      </c>
      <c r="B44" t="s">
        <v>3730</v>
      </c>
      <c r="C44" t="s">
        <v>273</v>
      </c>
      <c r="D44" t="s">
        <v>274</v>
      </c>
      <c r="E44" t="s">
        <v>1015</v>
      </c>
      <c r="F44">
        <v>40</v>
      </c>
      <c r="G44" t="str">
        <f>IFERROR(INDEX(Tabela_Deezer!B:B,MATCH(Deezer[[#This Row],[Link Externo]],Tabela_Deezer!C:C,0),1),"-")</f>
        <v>-</v>
      </c>
      <c r="H44">
        <v>38</v>
      </c>
      <c r="I44" s="3">
        <v>45902</v>
      </c>
    </row>
    <row r="45" spans="1:9" x14ac:dyDescent="0.25">
      <c r="A45">
        <v>44</v>
      </c>
      <c r="B45" t="s">
        <v>5164</v>
      </c>
      <c r="C45" t="s">
        <v>129</v>
      </c>
      <c r="D45" t="s">
        <v>2414</v>
      </c>
      <c r="E45" t="s">
        <v>131</v>
      </c>
      <c r="F45">
        <v>18</v>
      </c>
      <c r="G45" t="str">
        <f>IFERROR(INDEX(Tabela_Deezer!B:B,MATCH(Deezer[[#This Row],[Link Externo]],Tabela_Deezer!C:C,0),1),"-")</f>
        <v>-</v>
      </c>
      <c r="H45">
        <v>327</v>
      </c>
      <c r="I45" s="3">
        <v>45771</v>
      </c>
    </row>
    <row r="46" spans="1:9" x14ac:dyDescent="0.25">
      <c r="A46">
        <v>45</v>
      </c>
      <c r="B46" t="s">
        <v>2984</v>
      </c>
      <c r="C46" t="s">
        <v>164</v>
      </c>
      <c r="D46" t="s">
        <v>2985</v>
      </c>
      <c r="E46" t="s">
        <v>2986</v>
      </c>
      <c r="F46">
        <v>10</v>
      </c>
      <c r="G46" t="str">
        <f>IFERROR(INDEX(Tabela_Deezer!B:B,MATCH(Deezer[[#This Row],[Link Externo]],Tabela_Deezer!C:C,0),1),"-")</f>
        <v>-</v>
      </c>
      <c r="H46">
        <v>513</v>
      </c>
      <c r="I46" s="3">
        <v>45509</v>
      </c>
    </row>
    <row r="47" spans="1:9" x14ac:dyDescent="0.25">
      <c r="A47">
        <v>46</v>
      </c>
      <c r="B47" t="s">
        <v>2912</v>
      </c>
      <c r="C47" t="s">
        <v>298</v>
      </c>
      <c r="D47" t="s">
        <v>299</v>
      </c>
      <c r="E47" t="s">
        <v>67</v>
      </c>
      <c r="F47">
        <v>5</v>
      </c>
      <c r="G47" t="str">
        <f>IFERROR(INDEX(Tabela_Deezer!B:B,MATCH(Deezer[[#This Row],[Link Externo]],Tabela_Deezer!C:C,0),1),"-")</f>
        <v>-</v>
      </c>
      <c r="H47">
        <v>305</v>
      </c>
      <c r="I47" s="3">
        <v>45584</v>
      </c>
    </row>
    <row r="48" spans="1:9" x14ac:dyDescent="0.25">
      <c r="A48">
        <v>47</v>
      </c>
      <c r="B48" t="s">
        <v>2933</v>
      </c>
      <c r="C48" t="s">
        <v>14</v>
      </c>
      <c r="D48" t="s">
        <v>15</v>
      </c>
      <c r="E48" t="s">
        <v>953</v>
      </c>
      <c r="F48">
        <v>23</v>
      </c>
      <c r="G48" t="str">
        <f>IFERROR(INDEX(Tabela_Deezer!B:B,MATCH(Deezer[[#This Row],[Link Externo]],Tabela_Deezer!C:C,0),1),"-")</f>
        <v>-</v>
      </c>
      <c r="H48">
        <v>91</v>
      </c>
      <c r="I48" s="3">
        <v>45869</v>
      </c>
    </row>
    <row r="49" spans="1:9" x14ac:dyDescent="0.25">
      <c r="A49">
        <v>48</v>
      </c>
      <c r="B49" t="s">
        <v>2939</v>
      </c>
      <c r="C49" t="s">
        <v>384</v>
      </c>
      <c r="D49" t="s">
        <v>385</v>
      </c>
      <c r="E49" t="s">
        <v>386</v>
      </c>
      <c r="F49">
        <v>8</v>
      </c>
      <c r="G49" t="str">
        <f>IFERROR(INDEX(Tabela_Deezer!B:B,MATCH(Deezer[[#This Row],[Link Externo]],Tabela_Deezer!C:C,0),1),"-")</f>
        <v>-</v>
      </c>
      <c r="H49">
        <v>278</v>
      </c>
      <c r="I49" s="3">
        <v>45717</v>
      </c>
    </row>
    <row r="50" spans="1:9" x14ac:dyDescent="0.25">
      <c r="A50">
        <v>49</v>
      </c>
      <c r="B50" t="s">
        <v>2936</v>
      </c>
      <c r="C50" t="s">
        <v>43</v>
      </c>
      <c r="D50" t="s">
        <v>121</v>
      </c>
      <c r="E50" t="s">
        <v>31</v>
      </c>
      <c r="F50">
        <v>10</v>
      </c>
      <c r="G50" t="str">
        <f>IFERROR(INDEX(Tabela_Deezer!B:B,MATCH(Deezer[[#This Row],[Link Externo]],Tabela_Deezer!C:C,0),1),"-")</f>
        <v>-</v>
      </c>
      <c r="H50">
        <v>308</v>
      </c>
      <c r="I50" s="3">
        <v>45620</v>
      </c>
    </row>
    <row r="51" spans="1:9" x14ac:dyDescent="0.25">
      <c r="A51">
        <v>50</v>
      </c>
      <c r="B51" t="s">
        <v>2917</v>
      </c>
      <c r="C51" t="s">
        <v>69</v>
      </c>
      <c r="D51" t="s">
        <v>119</v>
      </c>
      <c r="E51" t="s">
        <v>67</v>
      </c>
      <c r="F51">
        <v>7</v>
      </c>
      <c r="G51" t="str">
        <f>IFERROR(INDEX(Tabela_Deezer!B:B,MATCH(Deezer[[#This Row],[Link Externo]],Tabela_Deezer!C:C,0),1),"-")</f>
        <v>-</v>
      </c>
      <c r="H51">
        <v>198</v>
      </c>
      <c r="I51" s="3">
        <v>45773</v>
      </c>
    </row>
    <row r="52" spans="1:9" x14ac:dyDescent="0.25">
      <c r="A52">
        <v>51</v>
      </c>
      <c r="B52" t="s">
        <v>4227</v>
      </c>
      <c r="C52" t="s">
        <v>402</v>
      </c>
      <c r="D52" t="s">
        <v>403</v>
      </c>
      <c r="E52" t="s">
        <v>402</v>
      </c>
      <c r="F52">
        <v>47</v>
      </c>
      <c r="G52" t="str">
        <f>IFERROR(INDEX(Tabela_Deezer!B:B,MATCH(Deezer[[#This Row],[Link Externo]],Tabela_Deezer!C:C,0),1),"-")</f>
        <v>-</v>
      </c>
      <c r="H52">
        <v>11</v>
      </c>
      <c r="I52" s="3">
        <v>45906</v>
      </c>
    </row>
    <row r="53" spans="1:9" x14ac:dyDescent="0.25">
      <c r="A53">
        <v>52</v>
      </c>
      <c r="B53" t="s">
        <v>2937</v>
      </c>
      <c r="C53" t="s">
        <v>234</v>
      </c>
      <c r="D53" t="s">
        <v>235</v>
      </c>
      <c r="E53" t="s">
        <v>12</v>
      </c>
      <c r="F53">
        <v>3</v>
      </c>
      <c r="G53" t="str">
        <f>IFERROR(INDEX(Tabela_Deezer!B:B,MATCH(Deezer[[#This Row],[Link Externo]],Tabela_Deezer!C:C,0),1),"-")</f>
        <v>-</v>
      </c>
      <c r="H53">
        <v>885</v>
      </c>
      <c r="I53" s="3">
        <v>45186</v>
      </c>
    </row>
    <row r="54" spans="1:9" x14ac:dyDescent="0.25">
      <c r="A54">
        <v>53</v>
      </c>
      <c r="B54" t="s">
        <v>2934</v>
      </c>
      <c r="C54" t="s">
        <v>39</v>
      </c>
      <c r="D54" t="s">
        <v>40</v>
      </c>
      <c r="E54" t="s">
        <v>41</v>
      </c>
      <c r="F54">
        <v>32</v>
      </c>
      <c r="G54" t="str">
        <f>IFERROR(INDEX(Tabela_Deezer!B:B,MATCH(Deezer[[#This Row],[Link Externo]],Tabela_Deezer!C:C,0),1),"-")</f>
        <v>-</v>
      </c>
      <c r="H54">
        <v>40</v>
      </c>
      <c r="I54" s="3">
        <v>45906</v>
      </c>
    </row>
    <row r="55" spans="1:9" x14ac:dyDescent="0.25">
      <c r="A55">
        <v>54</v>
      </c>
      <c r="B55" t="s">
        <v>2921</v>
      </c>
      <c r="C55" t="s">
        <v>22</v>
      </c>
      <c r="D55" t="s">
        <v>2922</v>
      </c>
      <c r="E55" t="s">
        <v>24</v>
      </c>
      <c r="F55">
        <v>15</v>
      </c>
      <c r="G55" t="str">
        <f>IFERROR(INDEX(Tabela_Deezer!B:B,MATCH(Deezer[[#This Row],[Link Externo]],Tabela_Deezer!C:C,0),1),"-")</f>
        <v>-</v>
      </c>
      <c r="H55">
        <v>250</v>
      </c>
      <c r="I55" s="3">
        <v>45815</v>
      </c>
    </row>
    <row r="56" spans="1:9" x14ac:dyDescent="0.25">
      <c r="A56">
        <v>55</v>
      </c>
      <c r="B56" t="s">
        <v>5165</v>
      </c>
      <c r="C56" t="s">
        <v>419</v>
      </c>
      <c r="D56" t="s">
        <v>3202</v>
      </c>
      <c r="E56" t="s">
        <v>24</v>
      </c>
      <c r="F56">
        <v>19</v>
      </c>
      <c r="G56" t="str">
        <f>IFERROR(INDEX(Tabela_Deezer!B:B,MATCH(Deezer[[#This Row],[Link Externo]],Tabela_Deezer!C:C,0),1),"-")</f>
        <v>-</v>
      </c>
      <c r="H56">
        <v>368</v>
      </c>
      <c r="I56" s="3">
        <v>45740</v>
      </c>
    </row>
    <row r="57" spans="1:9" x14ac:dyDescent="0.25">
      <c r="A57">
        <v>56</v>
      </c>
      <c r="B57" t="s">
        <v>2943</v>
      </c>
      <c r="C57" t="s">
        <v>316</v>
      </c>
      <c r="D57" t="s">
        <v>317</v>
      </c>
      <c r="E57" t="s">
        <v>88</v>
      </c>
      <c r="F57">
        <v>46</v>
      </c>
      <c r="G57" t="str">
        <f>IFERROR(INDEX(Tabela_Deezer!B:B,MATCH(Deezer[[#This Row],[Link Externo]],Tabela_Deezer!C:C,0),1),"-")</f>
        <v>-</v>
      </c>
      <c r="H57">
        <v>266</v>
      </c>
      <c r="I57" s="3">
        <v>45576</v>
      </c>
    </row>
    <row r="58" spans="1:9" x14ac:dyDescent="0.25">
      <c r="A58">
        <v>57</v>
      </c>
      <c r="B58" t="s">
        <v>2927</v>
      </c>
      <c r="C58" t="s">
        <v>513</v>
      </c>
      <c r="D58" t="s">
        <v>4318</v>
      </c>
      <c r="E58" t="s">
        <v>24</v>
      </c>
      <c r="F58">
        <v>30</v>
      </c>
      <c r="G58" t="str">
        <f>IFERROR(INDEX(Tabela_Deezer!B:B,MATCH(Deezer[[#This Row],[Link Externo]],Tabela_Deezer!C:C,0),1),"-")</f>
        <v>-</v>
      </c>
      <c r="H58">
        <v>294</v>
      </c>
      <c r="I58" s="3">
        <v>45886</v>
      </c>
    </row>
    <row r="59" spans="1:9" x14ac:dyDescent="0.25">
      <c r="A59">
        <v>58</v>
      </c>
      <c r="B59" t="s">
        <v>5111</v>
      </c>
      <c r="C59" t="s">
        <v>5112</v>
      </c>
      <c r="D59" t="s">
        <v>5113</v>
      </c>
      <c r="E59" t="s">
        <v>12</v>
      </c>
      <c r="F59">
        <v>58</v>
      </c>
      <c r="G59" t="str">
        <f>IFERROR(INDEX(Tabela_Deezer!B:B,MATCH(Deezer[[#This Row],[Link Externo]],Tabela_Deezer!C:C,0),1),"-")</f>
        <v>-</v>
      </c>
      <c r="H59">
        <v>2</v>
      </c>
      <c r="I59" s="3">
        <v>45908</v>
      </c>
    </row>
    <row r="60" spans="1:9" x14ac:dyDescent="0.25">
      <c r="A60">
        <v>59</v>
      </c>
      <c r="B60" t="s">
        <v>5166</v>
      </c>
      <c r="C60" t="s">
        <v>288</v>
      </c>
      <c r="D60" t="s">
        <v>289</v>
      </c>
      <c r="E60" t="s">
        <v>290</v>
      </c>
      <c r="F60">
        <v>21</v>
      </c>
      <c r="G60" t="str">
        <f>IFERROR(INDEX(Tabela_Deezer!B:B,MATCH(Deezer[[#This Row],[Link Externo]],Tabela_Deezer!C:C,0),1),"-")</f>
        <v>-</v>
      </c>
      <c r="H60">
        <v>174</v>
      </c>
      <c r="I60" s="3">
        <v>45761</v>
      </c>
    </row>
    <row r="61" spans="1:9" x14ac:dyDescent="0.25">
      <c r="A61">
        <v>60</v>
      </c>
      <c r="B61" t="s">
        <v>5167</v>
      </c>
      <c r="C61" t="s">
        <v>641</v>
      </c>
      <c r="D61" t="s">
        <v>4626</v>
      </c>
      <c r="E61" t="s">
        <v>232</v>
      </c>
      <c r="F61">
        <v>36</v>
      </c>
      <c r="G61" t="str">
        <f>IFERROR(INDEX(Tabela_Deezer!B:B,MATCH(Deezer[[#This Row],[Link Externo]],Tabela_Deezer!C:C,0),1),"-")</f>
        <v>-</v>
      </c>
      <c r="H61">
        <v>4</v>
      </c>
      <c r="I61" s="3">
        <v>45903</v>
      </c>
    </row>
    <row r="62" spans="1:9" x14ac:dyDescent="0.25">
      <c r="A62">
        <v>61</v>
      </c>
      <c r="B62" t="s">
        <v>2929</v>
      </c>
      <c r="C62" t="s">
        <v>75</v>
      </c>
      <c r="D62" t="s">
        <v>76</v>
      </c>
      <c r="E62" t="s">
        <v>77</v>
      </c>
      <c r="F62">
        <v>18</v>
      </c>
      <c r="G62" t="str">
        <f>IFERROR(INDEX(Tabela_Deezer!B:B,MATCH(Deezer[[#This Row],[Link Externo]],Tabela_Deezer!C:C,0),1),"-")</f>
        <v>-</v>
      </c>
      <c r="H62">
        <v>50</v>
      </c>
      <c r="I62" s="3">
        <v>45865</v>
      </c>
    </row>
    <row r="63" spans="1:9" x14ac:dyDescent="0.25">
      <c r="A63">
        <v>62</v>
      </c>
      <c r="B63" t="s">
        <v>5168</v>
      </c>
      <c r="C63" t="s">
        <v>652</v>
      </c>
      <c r="D63" t="s">
        <v>3278</v>
      </c>
      <c r="E63" t="s">
        <v>3280</v>
      </c>
      <c r="F63">
        <v>26</v>
      </c>
      <c r="G63" t="str">
        <f>IFERROR(INDEX(Tabela_Deezer!B:B,MATCH(Deezer[[#This Row],[Link Externo]],Tabela_Deezer!C:C,0),1),"-")</f>
        <v>-</v>
      </c>
      <c r="H63">
        <v>554</v>
      </c>
      <c r="I63" s="3">
        <v>45376</v>
      </c>
    </row>
    <row r="64" spans="1:9" x14ac:dyDescent="0.25">
      <c r="A64">
        <v>63</v>
      </c>
      <c r="B64" t="s">
        <v>2930</v>
      </c>
      <c r="C64" t="s">
        <v>442</v>
      </c>
      <c r="D64" t="s">
        <v>443</v>
      </c>
      <c r="E64" t="s">
        <v>12</v>
      </c>
      <c r="F64">
        <v>3</v>
      </c>
      <c r="G64" t="str">
        <f>IFERROR(INDEX(Tabela_Deezer!B:B,MATCH(Deezer[[#This Row],[Link Externo]],Tabela_Deezer!C:C,0),1),"-")</f>
        <v>-</v>
      </c>
      <c r="H64">
        <v>392</v>
      </c>
      <c r="I64" s="3">
        <v>45633</v>
      </c>
    </row>
    <row r="65" spans="1:9" x14ac:dyDescent="0.25">
      <c r="A65">
        <v>64</v>
      </c>
      <c r="B65" t="s">
        <v>2954</v>
      </c>
      <c r="C65" t="s">
        <v>2955</v>
      </c>
      <c r="D65" t="s">
        <v>2956</v>
      </c>
      <c r="E65" t="s">
        <v>12</v>
      </c>
      <c r="F65">
        <v>1</v>
      </c>
      <c r="G65" t="str">
        <f>IFERROR(INDEX(Tabela_Deezer!B:B,MATCH(Deezer[[#This Row],[Link Externo]],Tabela_Deezer!C:C,0),1),"-")</f>
        <v>-</v>
      </c>
      <c r="H65">
        <v>560</v>
      </c>
      <c r="I65" s="3">
        <v>45374</v>
      </c>
    </row>
    <row r="66" spans="1:9" x14ac:dyDescent="0.25">
      <c r="A66">
        <v>65</v>
      </c>
      <c r="B66" t="s">
        <v>3732</v>
      </c>
      <c r="C66" t="s">
        <v>285</v>
      </c>
      <c r="D66" t="s">
        <v>286</v>
      </c>
      <c r="E66" t="s">
        <v>67</v>
      </c>
      <c r="F66">
        <v>62</v>
      </c>
      <c r="G66" t="str">
        <f>IFERROR(INDEX(Tabela_Deezer!B:B,MATCH(Deezer[[#This Row],[Link Externo]],Tabela_Deezer!C:C,0),1),"-")</f>
        <v>-</v>
      </c>
      <c r="H66">
        <v>23</v>
      </c>
      <c r="I66" s="3">
        <v>45904</v>
      </c>
    </row>
    <row r="67" spans="1:9" x14ac:dyDescent="0.25">
      <c r="A67">
        <v>66</v>
      </c>
      <c r="B67" t="s">
        <v>2940</v>
      </c>
      <c r="C67" t="s">
        <v>1107</v>
      </c>
      <c r="D67" t="s">
        <v>2941</v>
      </c>
      <c r="E67" t="s">
        <v>31</v>
      </c>
      <c r="F67">
        <v>14</v>
      </c>
      <c r="G67" t="str">
        <f>IFERROR(INDEX(Tabela_Deezer!B:B,MATCH(Deezer[[#This Row],[Link Externo]],Tabela_Deezer!C:C,0),1),"-")</f>
        <v>-</v>
      </c>
      <c r="H67">
        <v>157</v>
      </c>
      <c r="I67" s="3">
        <v>45567</v>
      </c>
    </row>
    <row r="68" spans="1:9" x14ac:dyDescent="0.25">
      <c r="A68">
        <v>67</v>
      </c>
      <c r="B68" t="s">
        <v>2923</v>
      </c>
      <c r="C68" t="s">
        <v>1091</v>
      </c>
      <c r="D68" t="s">
        <v>1092</v>
      </c>
      <c r="E68" t="s">
        <v>12</v>
      </c>
      <c r="F68">
        <v>20</v>
      </c>
      <c r="G68" t="str">
        <f>IFERROR(INDEX(Tabela_Deezer!B:B,MATCH(Deezer[[#This Row],[Link Externo]],Tabela_Deezer!C:C,0),1),"-")</f>
        <v>-</v>
      </c>
      <c r="H68">
        <v>526</v>
      </c>
      <c r="I68" s="3">
        <v>44198</v>
      </c>
    </row>
    <row r="69" spans="1:9" x14ac:dyDescent="0.25">
      <c r="A69">
        <v>68</v>
      </c>
      <c r="B69" t="s">
        <v>2948</v>
      </c>
      <c r="C69" t="s">
        <v>2949</v>
      </c>
      <c r="D69" t="s">
        <v>2950</v>
      </c>
      <c r="E69" t="s">
        <v>24</v>
      </c>
      <c r="F69">
        <v>44</v>
      </c>
      <c r="G69" t="str">
        <f>IFERROR(INDEX(Tabela_Deezer!B:B,MATCH(Deezer[[#This Row],[Link Externo]],Tabela_Deezer!C:C,0),1),"-")</f>
        <v>-</v>
      </c>
      <c r="H69">
        <v>36</v>
      </c>
      <c r="I69" s="3">
        <v>45907</v>
      </c>
    </row>
    <row r="70" spans="1:9" x14ac:dyDescent="0.25">
      <c r="A70">
        <v>69</v>
      </c>
      <c r="B70" t="s">
        <v>2962</v>
      </c>
      <c r="C70" t="s">
        <v>43</v>
      </c>
      <c r="D70" t="s">
        <v>2963</v>
      </c>
      <c r="E70" t="s">
        <v>31</v>
      </c>
      <c r="F70">
        <v>4</v>
      </c>
      <c r="G70" t="str">
        <f>IFERROR(INDEX(Tabela_Deezer!B:B,MATCH(Deezer[[#This Row],[Link Externo]],Tabela_Deezer!C:C,0),1),"-")</f>
        <v>-</v>
      </c>
      <c r="H70">
        <v>705</v>
      </c>
      <c r="I70" s="3">
        <v>45253</v>
      </c>
    </row>
    <row r="71" spans="1:9" x14ac:dyDescent="0.25">
      <c r="A71">
        <v>70</v>
      </c>
      <c r="B71" t="s">
        <v>5169</v>
      </c>
      <c r="C71" t="s">
        <v>3033</v>
      </c>
      <c r="D71" t="s">
        <v>3032</v>
      </c>
      <c r="E71" t="s">
        <v>131</v>
      </c>
      <c r="F71">
        <v>13</v>
      </c>
      <c r="G71" t="str">
        <f>IFERROR(INDEX(Tabela_Deezer!B:B,MATCH(Deezer[[#This Row],[Link Externo]],Tabela_Deezer!C:C,0),1),"-")</f>
        <v>-</v>
      </c>
      <c r="H71">
        <v>801</v>
      </c>
      <c r="I71" s="3">
        <v>45376</v>
      </c>
    </row>
    <row r="72" spans="1:9" x14ac:dyDescent="0.25">
      <c r="A72">
        <v>71</v>
      </c>
      <c r="B72" t="s">
        <v>2958</v>
      </c>
      <c r="C72" t="s">
        <v>2959</v>
      </c>
      <c r="D72" t="s">
        <v>522</v>
      </c>
      <c r="E72" t="s">
        <v>2960</v>
      </c>
      <c r="F72">
        <v>7</v>
      </c>
      <c r="G72">
        <f>IFERROR(INDEX(Tabela_Deezer!B:B,MATCH(Deezer[[#This Row],[Link Externo]],Tabela_Deezer!C:C,0),1),"-")</f>
        <v>52</v>
      </c>
      <c r="H72">
        <v>235</v>
      </c>
      <c r="I72" s="3">
        <v>45688</v>
      </c>
    </row>
    <row r="73" spans="1:9" x14ac:dyDescent="0.25">
      <c r="A73">
        <v>72</v>
      </c>
      <c r="B73" t="s">
        <v>2957</v>
      </c>
      <c r="C73" t="s">
        <v>159</v>
      </c>
      <c r="D73" t="s">
        <v>160</v>
      </c>
      <c r="E73" t="s">
        <v>2911</v>
      </c>
      <c r="F73">
        <v>12</v>
      </c>
      <c r="G73">
        <f>IFERROR(INDEX(Tabela_Deezer!B:B,MATCH(Deezer[[#This Row],[Link Externo]],Tabela_Deezer!C:C,0),1),"-")</f>
        <v>57</v>
      </c>
      <c r="H73">
        <v>262</v>
      </c>
      <c r="I73" s="3">
        <v>45710</v>
      </c>
    </row>
    <row r="74" spans="1:9" x14ac:dyDescent="0.25">
      <c r="A74">
        <v>73</v>
      </c>
      <c r="B74" t="s">
        <v>5170</v>
      </c>
      <c r="C74" t="s">
        <v>5171</v>
      </c>
      <c r="D74" t="s">
        <v>931</v>
      </c>
      <c r="E74" t="s">
        <v>932</v>
      </c>
      <c r="F74">
        <v>68</v>
      </c>
      <c r="G74" t="str">
        <f>IFERROR(INDEX(Tabela_Deezer!B:B,MATCH(Deezer[[#This Row],[Link Externo]],Tabela_Deezer!C:C,0),1),"-")</f>
        <v>-</v>
      </c>
      <c r="H74">
        <v>25</v>
      </c>
      <c r="I74" s="3">
        <v>45890</v>
      </c>
    </row>
    <row r="75" spans="1:9" x14ac:dyDescent="0.25">
      <c r="A75">
        <v>74</v>
      </c>
      <c r="B75" t="s">
        <v>5172</v>
      </c>
      <c r="C75" t="s">
        <v>419</v>
      </c>
      <c r="D75" t="s">
        <v>3035</v>
      </c>
      <c r="E75" t="s">
        <v>24</v>
      </c>
      <c r="F75">
        <v>1</v>
      </c>
      <c r="G75" t="str">
        <f>IFERROR(INDEX(Tabela_Deezer!B:B,MATCH(Deezer[[#This Row],[Link Externo]],Tabela_Deezer!C:C,0),1),"-")</f>
        <v>-</v>
      </c>
      <c r="H75">
        <v>551</v>
      </c>
      <c r="I75" s="3">
        <v>45271</v>
      </c>
    </row>
    <row r="76" spans="1:9" x14ac:dyDescent="0.25">
      <c r="A76">
        <v>75</v>
      </c>
      <c r="B76" t="s">
        <v>2961</v>
      </c>
      <c r="C76" t="s">
        <v>46</v>
      </c>
      <c r="D76" t="s">
        <v>445</v>
      </c>
      <c r="E76" t="s">
        <v>12</v>
      </c>
      <c r="F76">
        <v>39</v>
      </c>
      <c r="G76" t="str">
        <f>IFERROR(INDEX(Tabela_Deezer!B:B,MATCH(Deezer[[#This Row],[Link Externo]],Tabela_Deezer!C:C,0),1),"-")</f>
        <v>-</v>
      </c>
      <c r="H76">
        <v>102</v>
      </c>
      <c r="I76" s="3">
        <v>45829</v>
      </c>
    </row>
    <row r="77" spans="1:9" x14ac:dyDescent="0.25">
      <c r="A77">
        <v>76</v>
      </c>
      <c r="B77" t="s">
        <v>5173</v>
      </c>
      <c r="C77" t="s">
        <v>3415</v>
      </c>
      <c r="D77" t="s">
        <v>3414</v>
      </c>
      <c r="E77" t="s">
        <v>3417</v>
      </c>
      <c r="F77">
        <v>38</v>
      </c>
      <c r="G77" t="str">
        <f>IFERROR(INDEX(Tabela_Deezer!B:B,MATCH(Deezer[[#This Row],[Link Externo]],Tabela_Deezer!C:C,0),1),"-")</f>
        <v>-</v>
      </c>
      <c r="H77">
        <v>243</v>
      </c>
      <c r="I77" s="3">
        <v>45579</v>
      </c>
    </row>
    <row r="78" spans="1:9" x14ac:dyDescent="0.25">
      <c r="A78">
        <v>77</v>
      </c>
      <c r="B78" t="s">
        <v>2972</v>
      </c>
      <c r="C78" t="s">
        <v>2973</v>
      </c>
      <c r="D78" t="s">
        <v>2833</v>
      </c>
      <c r="E78" t="s">
        <v>12</v>
      </c>
      <c r="F78">
        <v>25</v>
      </c>
      <c r="G78" t="str">
        <f>IFERROR(INDEX(Tabela_Deezer!B:B,MATCH(Deezer[[#This Row],[Link Externo]],Tabela_Deezer!C:C,0),1),"-")</f>
        <v>-</v>
      </c>
      <c r="H78">
        <v>136</v>
      </c>
      <c r="I78" s="3">
        <v>45815</v>
      </c>
    </row>
    <row r="79" spans="1:9" x14ac:dyDescent="0.25">
      <c r="A79">
        <v>78</v>
      </c>
      <c r="B79" t="s">
        <v>2944</v>
      </c>
      <c r="C79" t="s">
        <v>2945</v>
      </c>
      <c r="D79" t="s">
        <v>2946</v>
      </c>
      <c r="E79" t="s">
        <v>67</v>
      </c>
      <c r="F79">
        <v>24</v>
      </c>
      <c r="G79" t="str">
        <f>IFERROR(INDEX(Tabela_Deezer!B:B,MATCH(Deezer[[#This Row],[Link Externo]],Tabela_Deezer!C:C,0),1),"-")</f>
        <v>-</v>
      </c>
      <c r="H79">
        <v>286</v>
      </c>
      <c r="I79" s="3">
        <v>45710</v>
      </c>
    </row>
    <row r="80" spans="1:9" x14ac:dyDescent="0.25">
      <c r="A80">
        <v>79</v>
      </c>
      <c r="B80" t="s">
        <v>2968</v>
      </c>
      <c r="C80" t="s">
        <v>415</v>
      </c>
      <c r="D80" t="s">
        <v>2969</v>
      </c>
      <c r="E80" t="s">
        <v>24</v>
      </c>
      <c r="F80">
        <v>19</v>
      </c>
      <c r="G80" t="str">
        <f>IFERROR(INDEX(Tabela_Deezer!B:B,MATCH(Deezer[[#This Row],[Link Externo]],Tabela_Deezer!C:C,0),1),"-")</f>
        <v>-</v>
      </c>
      <c r="H80">
        <v>283</v>
      </c>
      <c r="I80" s="3">
        <v>45773</v>
      </c>
    </row>
    <row r="81" spans="1:9" x14ac:dyDescent="0.25">
      <c r="A81">
        <v>80</v>
      </c>
      <c r="B81" t="s">
        <v>2938</v>
      </c>
      <c r="C81" t="s">
        <v>125</v>
      </c>
      <c r="D81" t="s">
        <v>126</v>
      </c>
      <c r="E81" t="s">
        <v>127</v>
      </c>
      <c r="F81">
        <v>26</v>
      </c>
      <c r="G81" t="str">
        <f>IFERROR(INDEX(Tabela_Deezer!B:B,MATCH(Deezer[[#This Row],[Link Externo]],Tabela_Deezer!C:C,0),1),"-")</f>
        <v>-</v>
      </c>
      <c r="H81">
        <v>87</v>
      </c>
      <c r="I81" s="3">
        <v>45865</v>
      </c>
    </row>
    <row r="82" spans="1:9" x14ac:dyDescent="0.25">
      <c r="A82">
        <v>81</v>
      </c>
      <c r="B82" t="s">
        <v>2974</v>
      </c>
      <c r="C82" t="s">
        <v>72</v>
      </c>
      <c r="D82" t="s">
        <v>73</v>
      </c>
      <c r="E82" t="s">
        <v>20</v>
      </c>
      <c r="F82">
        <v>57</v>
      </c>
      <c r="G82">
        <f>IFERROR(INDEX(Tabela_Deezer!B:B,MATCH(Deezer[[#This Row],[Link Externo]],Tabela_Deezer!C:C,0),1),"-")</f>
        <v>93</v>
      </c>
      <c r="H82">
        <v>34</v>
      </c>
      <c r="I82" s="3">
        <v>45874</v>
      </c>
    </row>
    <row r="83" spans="1:9" x14ac:dyDescent="0.25">
      <c r="A83">
        <v>82</v>
      </c>
      <c r="B83" t="s">
        <v>5174</v>
      </c>
      <c r="C83" t="s">
        <v>5175</v>
      </c>
      <c r="D83" t="s">
        <v>3442</v>
      </c>
      <c r="E83" t="s">
        <v>3445</v>
      </c>
      <c r="F83">
        <v>36</v>
      </c>
      <c r="G83" t="str">
        <f>IFERROR(INDEX(Tabela_Deezer!B:B,MATCH(Deezer[[#This Row],[Link Externo]],Tabela_Deezer!C:C,0),1),"-")</f>
        <v>-</v>
      </c>
      <c r="H83">
        <v>233</v>
      </c>
      <c r="I83" s="3">
        <v>45565</v>
      </c>
    </row>
    <row r="84" spans="1:9" x14ac:dyDescent="0.25">
      <c r="A84">
        <v>83</v>
      </c>
      <c r="B84" t="s">
        <v>2978</v>
      </c>
      <c r="C84" t="s">
        <v>1073</v>
      </c>
      <c r="D84" t="s">
        <v>1074</v>
      </c>
      <c r="E84" t="s">
        <v>1073</v>
      </c>
      <c r="F84">
        <v>42</v>
      </c>
      <c r="G84" t="str">
        <f>IFERROR(INDEX(Tabela_Deezer!B:B,MATCH(Deezer[[#This Row],[Link Externo]],Tabela_Deezer!C:C,0),1),"-")</f>
        <v>-</v>
      </c>
      <c r="H84">
        <v>177</v>
      </c>
      <c r="I84" s="3">
        <v>45800</v>
      </c>
    </row>
    <row r="85" spans="1:9" x14ac:dyDescent="0.25">
      <c r="A85">
        <v>84</v>
      </c>
      <c r="B85" t="s">
        <v>3937</v>
      </c>
      <c r="C85" t="s">
        <v>33</v>
      </c>
      <c r="D85" t="s">
        <v>3938</v>
      </c>
      <c r="E85" t="s">
        <v>12</v>
      </c>
      <c r="F85">
        <v>22</v>
      </c>
      <c r="G85" t="str">
        <f>IFERROR(INDEX(Tabela_Deezer!B:B,MATCH(Deezer[[#This Row],[Link Externo]],Tabela_Deezer!C:C,0),1),"-")</f>
        <v>-</v>
      </c>
      <c r="H85">
        <v>224</v>
      </c>
      <c r="I85" s="3">
        <v>45732</v>
      </c>
    </row>
    <row r="86" spans="1:9" x14ac:dyDescent="0.25">
      <c r="A86">
        <v>85</v>
      </c>
      <c r="B86" t="s">
        <v>2951</v>
      </c>
      <c r="C86" t="s">
        <v>733</v>
      </c>
      <c r="D86" t="s">
        <v>2952</v>
      </c>
      <c r="E86" t="s">
        <v>24</v>
      </c>
      <c r="F86">
        <v>54</v>
      </c>
      <c r="G86" t="str">
        <f>IFERROR(INDEX(Tabela_Deezer!B:B,MATCH(Deezer[[#This Row],[Link Externo]],Tabela_Deezer!C:C,0),1),"-")</f>
        <v>-</v>
      </c>
      <c r="H86">
        <v>24</v>
      </c>
      <c r="I86" s="3">
        <v>45893</v>
      </c>
    </row>
    <row r="87" spans="1:9" x14ac:dyDescent="0.25">
      <c r="A87">
        <v>86</v>
      </c>
      <c r="B87" t="s">
        <v>2965</v>
      </c>
      <c r="C87" t="s">
        <v>2966</v>
      </c>
      <c r="D87" t="s">
        <v>2967</v>
      </c>
      <c r="E87" t="s">
        <v>24</v>
      </c>
      <c r="F87">
        <v>66</v>
      </c>
      <c r="G87" t="str">
        <f>IFERROR(INDEX(Tabela_Deezer!B:B,MATCH(Deezer[[#This Row],[Link Externo]],Tabela_Deezer!C:C,0),1),"-")</f>
        <v>-</v>
      </c>
      <c r="H87">
        <v>61</v>
      </c>
      <c r="I87" s="3">
        <v>45893</v>
      </c>
    </row>
    <row r="88" spans="1:9" x14ac:dyDescent="0.25">
      <c r="A88">
        <v>87</v>
      </c>
      <c r="B88" t="s">
        <v>2953</v>
      </c>
      <c r="C88" t="s">
        <v>152</v>
      </c>
      <c r="D88" t="s">
        <v>490</v>
      </c>
      <c r="E88" t="s">
        <v>12</v>
      </c>
      <c r="F88">
        <v>13</v>
      </c>
      <c r="G88" t="str">
        <f>IFERROR(INDEX(Tabela_Deezer!B:B,MATCH(Deezer[[#This Row],[Link Externo]],Tabela_Deezer!C:C,0),1),"-")</f>
        <v>-</v>
      </c>
      <c r="H88">
        <v>223</v>
      </c>
      <c r="I88" s="3">
        <v>45758</v>
      </c>
    </row>
    <row r="89" spans="1:9" x14ac:dyDescent="0.25">
      <c r="A89">
        <v>88</v>
      </c>
      <c r="B89" t="s">
        <v>4228</v>
      </c>
      <c r="C89" t="s">
        <v>43</v>
      </c>
      <c r="D89" t="s">
        <v>3008</v>
      </c>
      <c r="E89" t="s">
        <v>31</v>
      </c>
      <c r="F89">
        <v>45</v>
      </c>
      <c r="G89" t="str">
        <f>IFERROR(INDEX(Tabela_Deezer!B:B,MATCH(Deezer[[#This Row],[Link Externo]],Tabela_Deezer!C:C,0),1),"-")</f>
        <v>-</v>
      </c>
      <c r="H89">
        <v>64</v>
      </c>
      <c r="I89" s="3">
        <v>45841</v>
      </c>
    </row>
    <row r="90" spans="1:9" x14ac:dyDescent="0.25">
      <c r="A90">
        <v>89</v>
      </c>
      <c r="B90" t="s">
        <v>2979</v>
      </c>
      <c r="C90" t="s">
        <v>43</v>
      </c>
      <c r="D90" t="s">
        <v>2980</v>
      </c>
      <c r="E90" t="s">
        <v>31</v>
      </c>
      <c r="F90">
        <v>55</v>
      </c>
      <c r="G90" t="str">
        <f>IFERROR(INDEX(Tabela_Deezer!B:B,MATCH(Deezer[[#This Row],[Link Externo]],Tabela_Deezer!C:C,0),1),"-")</f>
        <v>-</v>
      </c>
      <c r="H90">
        <v>116</v>
      </c>
      <c r="I90" s="3">
        <v>45842</v>
      </c>
    </row>
    <row r="91" spans="1:9" x14ac:dyDescent="0.25">
      <c r="A91">
        <v>90</v>
      </c>
      <c r="B91" t="s">
        <v>5176</v>
      </c>
      <c r="C91" t="s">
        <v>329</v>
      </c>
      <c r="D91" t="s">
        <v>330</v>
      </c>
      <c r="E91" t="s">
        <v>5177</v>
      </c>
      <c r="F91">
        <v>30</v>
      </c>
      <c r="G91" t="str">
        <f>IFERROR(INDEX(Tabela_Deezer!B:B,MATCH(Deezer[[#This Row],[Link Externo]],Tabela_Deezer!C:C,0),1),"-")</f>
        <v>-</v>
      </c>
      <c r="H91">
        <v>204</v>
      </c>
      <c r="I91" s="3">
        <v>45544</v>
      </c>
    </row>
    <row r="92" spans="1:9" x14ac:dyDescent="0.25">
      <c r="A92">
        <v>91</v>
      </c>
      <c r="B92" t="s">
        <v>5178</v>
      </c>
      <c r="C92" t="s">
        <v>641</v>
      </c>
      <c r="D92" t="s">
        <v>1506</v>
      </c>
      <c r="E92" t="s">
        <v>232</v>
      </c>
      <c r="F92">
        <v>1</v>
      </c>
      <c r="G92" t="str">
        <f>IFERROR(INDEX(Tabela_Deezer!B:B,MATCH(Deezer[[#This Row],[Link Externo]],Tabela_Deezer!C:C,0),1),"-")</f>
        <v>-</v>
      </c>
      <c r="H92">
        <v>199</v>
      </c>
      <c r="I92" s="3">
        <v>45691</v>
      </c>
    </row>
    <row r="93" spans="1:9" x14ac:dyDescent="0.25">
      <c r="A93">
        <v>92</v>
      </c>
      <c r="B93" t="s">
        <v>5179</v>
      </c>
      <c r="C93" t="s">
        <v>43</v>
      </c>
      <c r="D93" t="s">
        <v>5180</v>
      </c>
      <c r="E93" t="s">
        <v>31</v>
      </c>
      <c r="F93">
        <v>87</v>
      </c>
      <c r="G93" t="str">
        <f>IFERROR(INDEX(Tabela_Deezer!B:B,MATCH(Deezer[[#This Row],[Link Externo]],Tabela_Deezer!C:C,0),1),"-")</f>
        <v>-</v>
      </c>
      <c r="H93">
        <v>16</v>
      </c>
      <c r="I93" s="3">
        <v>45842</v>
      </c>
    </row>
    <row r="94" spans="1:9" x14ac:dyDescent="0.25">
      <c r="A94">
        <v>93</v>
      </c>
      <c r="B94" t="s">
        <v>5181</v>
      </c>
      <c r="C94" t="s">
        <v>5182</v>
      </c>
      <c r="D94" t="s">
        <v>5183</v>
      </c>
      <c r="E94" t="s">
        <v>105</v>
      </c>
      <c r="F94">
        <v>63</v>
      </c>
      <c r="G94" t="str">
        <f>IFERROR(INDEX(Tabela_Deezer!B:B,MATCH(Deezer[[#This Row],[Link Externo]],Tabela_Deezer!C:C,0),1),"-")</f>
        <v>-</v>
      </c>
      <c r="H94">
        <v>130</v>
      </c>
      <c r="I94" s="3">
        <v>45761</v>
      </c>
    </row>
    <row r="95" spans="1:9" x14ac:dyDescent="0.25">
      <c r="A95">
        <v>94</v>
      </c>
      <c r="B95" t="s">
        <v>2964</v>
      </c>
      <c r="C95" t="s">
        <v>571</v>
      </c>
      <c r="D95" t="s">
        <v>1100</v>
      </c>
      <c r="E95" t="s">
        <v>644</v>
      </c>
      <c r="F95">
        <v>44</v>
      </c>
      <c r="G95" t="str">
        <f>IFERROR(INDEX(Tabela_Deezer!B:B,MATCH(Deezer[[#This Row],[Link Externo]],Tabela_Deezer!C:C,0),1),"-")</f>
        <v>-</v>
      </c>
      <c r="H95">
        <v>134</v>
      </c>
      <c r="I95" s="3">
        <v>45829</v>
      </c>
    </row>
    <row r="96" spans="1:9" x14ac:dyDescent="0.25">
      <c r="A96">
        <v>95</v>
      </c>
      <c r="B96" t="s">
        <v>4918</v>
      </c>
      <c r="C96" t="s">
        <v>316</v>
      </c>
      <c r="D96" t="s">
        <v>359</v>
      </c>
      <c r="E96" t="s">
        <v>88</v>
      </c>
      <c r="F96">
        <v>31</v>
      </c>
      <c r="G96" t="str">
        <f>IFERROR(INDEX(Tabela_Deezer!B:B,MATCH(Deezer[[#This Row],[Link Externo]],Tabela_Deezer!C:C,0),1),"-")</f>
        <v>-</v>
      </c>
      <c r="H96">
        <v>46</v>
      </c>
      <c r="I96" s="3">
        <v>45870</v>
      </c>
    </row>
    <row r="97" spans="1:9" x14ac:dyDescent="0.25">
      <c r="A97">
        <v>96</v>
      </c>
      <c r="B97" t="s">
        <v>5184</v>
      </c>
      <c r="C97" t="s">
        <v>3524</v>
      </c>
      <c r="D97" t="s">
        <v>5185</v>
      </c>
      <c r="E97" t="s">
        <v>24</v>
      </c>
      <c r="F97">
        <v>21</v>
      </c>
      <c r="G97" t="str">
        <f>IFERROR(INDEX(Tabela_Deezer!B:B,MATCH(Deezer[[#This Row],[Link Externo]],Tabela_Deezer!C:C,0),1),"-")</f>
        <v>-</v>
      </c>
      <c r="H97">
        <v>558</v>
      </c>
      <c r="I97" s="3">
        <v>45376</v>
      </c>
    </row>
    <row r="98" spans="1:9" x14ac:dyDescent="0.25">
      <c r="A98">
        <v>97</v>
      </c>
      <c r="B98" t="s">
        <v>5186</v>
      </c>
      <c r="C98" t="s">
        <v>5187</v>
      </c>
      <c r="D98" t="s">
        <v>3099</v>
      </c>
      <c r="E98" t="s">
        <v>3099</v>
      </c>
      <c r="F98">
        <v>43</v>
      </c>
      <c r="G98" t="str">
        <f>IFERROR(INDEX(Tabela_Deezer!B:B,MATCH(Deezer[[#This Row],[Link Externo]],Tabela_Deezer!C:C,0),1),"-")</f>
        <v>-</v>
      </c>
      <c r="H98">
        <v>323</v>
      </c>
      <c r="I98" s="3">
        <v>45376</v>
      </c>
    </row>
    <row r="99" spans="1:9" x14ac:dyDescent="0.25">
      <c r="A99">
        <v>98</v>
      </c>
      <c r="B99" t="s">
        <v>4748</v>
      </c>
      <c r="C99" t="s">
        <v>110</v>
      </c>
      <c r="D99" t="s">
        <v>4749</v>
      </c>
      <c r="E99" t="s">
        <v>12</v>
      </c>
      <c r="F99">
        <v>43</v>
      </c>
      <c r="G99" t="str">
        <f>IFERROR(INDEX(Tabela_Deezer!B:B,MATCH(Deezer[[#This Row],[Link Externo]],Tabela_Deezer!C:C,0),1),"-")</f>
        <v>-</v>
      </c>
      <c r="H99">
        <v>48</v>
      </c>
      <c r="I99" s="3">
        <v>45858</v>
      </c>
    </row>
    <row r="100" spans="1:9" x14ac:dyDescent="0.25">
      <c r="A100">
        <v>99</v>
      </c>
      <c r="B100" t="s">
        <v>3731</v>
      </c>
      <c r="C100" t="s">
        <v>209</v>
      </c>
      <c r="D100" t="s">
        <v>210</v>
      </c>
      <c r="E100" t="s">
        <v>67</v>
      </c>
      <c r="F100">
        <v>12</v>
      </c>
      <c r="G100" t="str">
        <f>IFERROR(INDEX(Tabela_Deezer!B:B,MATCH(Deezer[[#This Row],[Link Externo]],Tabela_Deezer!C:C,0),1),"-")</f>
        <v>-</v>
      </c>
      <c r="H100">
        <v>90</v>
      </c>
      <c r="I100" s="3">
        <v>45818</v>
      </c>
    </row>
    <row r="101" spans="1:9" x14ac:dyDescent="0.25">
      <c r="A101">
        <v>100</v>
      </c>
      <c r="B101" t="s">
        <v>4660</v>
      </c>
      <c r="C101" t="s">
        <v>93</v>
      </c>
      <c r="D101" t="s">
        <v>5188</v>
      </c>
      <c r="E101" t="s">
        <v>24</v>
      </c>
      <c r="F101">
        <v>3</v>
      </c>
      <c r="G101" t="str">
        <f>IFERROR(INDEX(Tabela_Deezer!B:B,MATCH(Deezer[[#This Row],[Link Externo]],Tabela_Deezer!C:C,0),1),"-")</f>
        <v>-</v>
      </c>
      <c r="H101">
        <v>289</v>
      </c>
      <c r="I101" s="3">
        <v>45648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E7127-81B1-4744-B9A1-82B3B0CDA6F1}">
  <sheetPr codeName="Planilha16"/>
  <dimension ref="A1:J8"/>
  <sheetViews>
    <sheetView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2.140625" bestFit="1" customWidth="1"/>
    <col min="3" max="3" width="35.28515625" bestFit="1" customWidth="1"/>
    <col min="4" max="4" width="31.5703125" bestFit="1" customWidth="1"/>
    <col min="5" max="5" width="30.42578125" bestFit="1" customWidth="1"/>
    <col min="6" max="6" width="17.42578125" bestFit="1" customWidth="1"/>
    <col min="7" max="7" width="14.7109375" bestFit="1" customWidth="1"/>
    <col min="8" max="8" width="13.5703125" bestFit="1" customWidth="1"/>
    <col min="9" max="9" width="13.7109375" bestFit="1" customWidth="1"/>
    <col min="10" max="10" width="11.85546875" bestFit="1" customWidth="1"/>
  </cols>
  <sheetData>
    <row r="1" spans="1:10" x14ac:dyDescent="0.25">
      <c r="A1" t="s">
        <v>3789</v>
      </c>
      <c r="B1" t="s">
        <v>2877</v>
      </c>
      <c r="C1" t="s">
        <v>2878</v>
      </c>
      <c r="D1" t="s">
        <v>2879</v>
      </c>
      <c r="E1" t="s">
        <v>2880</v>
      </c>
      <c r="F1" t="s">
        <v>2881</v>
      </c>
      <c r="G1" t="s">
        <v>2882</v>
      </c>
      <c r="H1" t="s">
        <v>2737</v>
      </c>
      <c r="I1" t="s">
        <v>2883</v>
      </c>
      <c r="J1" t="s">
        <v>521</v>
      </c>
    </row>
    <row r="2" spans="1:10" x14ac:dyDescent="0.25">
      <c r="A2" s="3">
        <v>45907</v>
      </c>
      <c r="B2">
        <v>4</v>
      </c>
      <c r="C2" t="s">
        <v>2890</v>
      </c>
      <c r="D2" t="s">
        <v>2891</v>
      </c>
      <c r="E2" t="s">
        <v>1051</v>
      </c>
      <c r="F2" t="s">
        <v>12</v>
      </c>
      <c r="G2">
        <v>2</v>
      </c>
      <c r="H2">
        <v>3</v>
      </c>
      <c r="I2">
        <v>16</v>
      </c>
      <c r="J2" s="3">
        <v>45894</v>
      </c>
    </row>
    <row r="3" spans="1:10" x14ac:dyDescent="0.25">
      <c r="A3" s="3">
        <v>45907</v>
      </c>
      <c r="B3">
        <v>19</v>
      </c>
      <c r="C3" t="s">
        <v>2896</v>
      </c>
      <c r="D3" t="s">
        <v>2897</v>
      </c>
      <c r="E3" t="s">
        <v>19</v>
      </c>
      <c r="F3" t="s">
        <v>20</v>
      </c>
      <c r="G3">
        <v>5</v>
      </c>
      <c r="H3">
        <v>15</v>
      </c>
      <c r="I3">
        <v>68</v>
      </c>
      <c r="J3" s="3">
        <v>45869</v>
      </c>
    </row>
    <row r="4" spans="1:10" x14ac:dyDescent="0.25">
      <c r="A4" s="3">
        <v>45907</v>
      </c>
      <c r="B4">
        <v>29</v>
      </c>
      <c r="C4" t="s">
        <v>2910</v>
      </c>
      <c r="D4" t="s">
        <v>136</v>
      </c>
      <c r="E4" t="s">
        <v>137</v>
      </c>
      <c r="F4" t="s">
        <v>2911</v>
      </c>
      <c r="G4">
        <v>12</v>
      </c>
      <c r="H4">
        <v>29</v>
      </c>
      <c r="I4">
        <v>72</v>
      </c>
      <c r="J4" s="3">
        <v>45844</v>
      </c>
    </row>
    <row r="5" spans="1:10" x14ac:dyDescent="0.25">
      <c r="A5" s="3">
        <v>45907</v>
      </c>
      <c r="B5">
        <v>52</v>
      </c>
      <c r="C5" t="s">
        <v>2958</v>
      </c>
      <c r="D5" t="s">
        <v>2959</v>
      </c>
      <c r="E5" t="s">
        <v>522</v>
      </c>
      <c r="F5" t="s">
        <v>2960</v>
      </c>
      <c r="G5">
        <v>7</v>
      </c>
      <c r="H5">
        <v>55</v>
      </c>
      <c r="I5">
        <v>234</v>
      </c>
      <c r="J5" s="3">
        <v>45688</v>
      </c>
    </row>
    <row r="6" spans="1:10" x14ac:dyDescent="0.25">
      <c r="A6" s="3">
        <v>45907</v>
      </c>
      <c r="B6">
        <v>57</v>
      </c>
      <c r="C6" t="s">
        <v>2957</v>
      </c>
      <c r="D6" t="s">
        <v>159</v>
      </c>
      <c r="E6" t="s">
        <v>160</v>
      </c>
      <c r="F6" t="s">
        <v>2911</v>
      </c>
      <c r="G6">
        <v>12</v>
      </c>
      <c r="H6">
        <v>59</v>
      </c>
      <c r="I6">
        <v>261</v>
      </c>
      <c r="J6" s="3">
        <v>45710</v>
      </c>
    </row>
    <row r="7" spans="1:10" x14ac:dyDescent="0.25">
      <c r="A7" s="3">
        <v>45907</v>
      </c>
      <c r="B7">
        <v>72</v>
      </c>
      <c r="C7" t="s">
        <v>4917</v>
      </c>
      <c r="D7" t="s">
        <v>524</v>
      </c>
      <c r="E7" t="s">
        <v>525</v>
      </c>
      <c r="F7" t="s">
        <v>12</v>
      </c>
      <c r="G7">
        <v>15</v>
      </c>
      <c r="H7">
        <v>84</v>
      </c>
      <c r="I7">
        <v>338</v>
      </c>
      <c r="J7" s="3">
        <v>45334</v>
      </c>
    </row>
    <row r="8" spans="1:10" x14ac:dyDescent="0.25">
      <c r="A8" s="3">
        <v>45907</v>
      </c>
      <c r="B8">
        <v>93</v>
      </c>
      <c r="C8" t="s">
        <v>2974</v>
      </c>
      <c r="D8" t="s">
        <v>72</v>
      </c>
      <c r="E8" t="s">
        <v>73</v>
      </c>
      <c r="F8" t="s">
        <v>20</v>
      </c>
      <c r="G8">
        <v>57</v>
      </c>
      <c r="H8">
        <v>81</v>
      </c>
      <c r="I8">
        <v>33</v>
      </c>
      <c r="J8" s="3">
        <v>45874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71446-1163-46B4-AD8C-99F7E51C52AE}">
  <sheetPr codeName="Planilha17"/>
  <dimension ref="A1:I101"/>
  <sheetViews>
    <sheetView showGridLines="0" topLeftCell="E1" zoomScale="90" zoomScaleNormal="90" workbookViewId="0">
      <selection activeCell="C2" sqref="C2"/>
    </sheetView>
  </sheetViews>
  <sheetFormatPr defaultRowHeight="15" x14ac:dyDescent="0.25"/>
  <cols>
    <col min="1" max="1" width="14.42578125" bestFit="1" customWidth="1"/>
    <col min="2" max="2" width="63.28515625" bestFit="1" customWidth="1"/>
    <col min="3" max="3" width="61.42578125" bestFit="1" customWidth="1"/>
    <col min="4" max="4" width="81.140625" bestFit="1" customWidth="1"/>
    <col min="5" max="5" width="40.5703125" bestFit="1" customWidth="1"/>
    <col min="6" max="6" width="17" bestFit="1" customWidth="1"/>
    <col min="7" max="7" width="15.85546875" bestFit="1" customWidth="1"/>
    <col min="8" max="8" width="16" bestFit="1" customWidth="1"/>
    <col min="9" max="9" width="14.28515625" bestFit="1" customWidth="1"/>
  </cols>
  <sheetData>
    <row r="1" spans="1:9" x14ac:dyDescent="0.25">
      <c r="A1" t="s">
        <v>2877</v>
      </c>
      <c r="B1" t="s">
        <v>2878</v>
      </c>
      <c r="C1" t="s">
        <v>2879</v>
      </c>
      <c r="D1" t="s">
        <v>2880</v>
      </c>
      <c r="E1" t="s">
        <v>2881</v>
      </c>
      <c r="F1" t="s">
        <v>2882</v>
      </c>
      <c r="G1" t="s">
        <v>2737</v>
      </c>
      <c r="H1" t="s">
        <v>2883</v>
      </c>
      <c r="I1" t="s">
        <v>521</v>
      </c>
    </row>
    <row r="2" spans="1:9" x14ac:dyDescent="0.25">
      <c r="A2">
        <v>1</v>
      </c>
      <c r="B2" t="s">
        <v>3624</v>
      </c>
      <c r="C2" t="s">
        <v>10</v>
      </c>
      <c r="D2" t="s">
        <v>11</v>
      </c>
      <c r="E2" t="s">
        <v>12</v>
      </c>
      <c r="F2">
        <v>1</v>
      </c>
      <c r="G2" t="str">
        <f>IFERROR(INDEX(Tabela_Apple!B:B,MATCH(Apple[[#This Row],[Link Externo]],Tabela_Apple!C:C,0),1),"-")</f>
        <v>-</v>
      </c>
      <c r="H2">
        <v>127</v>
      </c>
      <c r="I2" s="3">
        <v>45857</v>
      </c>
    </row>
    <row r="3" spans="1:9" x14ac:dyDescent="0.25">
      <c r="A3">
        <v>2</v>
      </c>
      <c r="B3" t="s">
        <v>5114</v>
      </c>
      <c r="C3" t="s">
        <v>641</v>
      </c>
      <c r="D3" t="s">
        <v>4626</v>
      </c>
      <c r="E3" t="s">
        <v>232</v>
      </c>
      <c r="F3">
        <v>2</v>
      </c>
      <c r="G3" t="str">
        <f>IFERROR(INDEX(Tabela_Apple!B:B,MATCH(Apple[[#This Row],[Link Externo]],Tabela_Apple!C:C,0),1),"-")</f>
        <v>-</v>
      </c>
      <c r="H3">
        <v>4</v>
      </c>
      <c r="I3" s="3">
        <v>45907</v>
      </c>
    </row>
    <row r="4" spans="1:9" x14ac:dyDescent="0.25">
      <c r="A4">
        <v>3</v>
      </c>
      <c r="B4" t="s">
        <v>4229</v>
      </c>
      <c r="C4" t="s">
        <v>496</v>
      </c>
      <c r="D4" t="s">
        <v>4226</v>
      </c>
      <c r="E4" t="s">
        <v>1133</v>
      </c>
      <c r="F4">
        <v>1</v>
      </c>
      <c r="G4" t="str">
        <f>IFERROR(INDEX(Tabela_Apple!B:B,MATCH(Apple[[#This Row],[Link Externo]],Tabela_Apple!C:C,0),1),"-")</f>
        <v>-</v>
      </c>
      <c r="H4">
        <v>11</v>
      </c>
      <c r="I4" s="3">
        <v>45898</v>
      </c>
    </row>
    <row r="5" spans="1:9" x14ac:dyDescent="0.25">
      <c r="A5">
        <v>4</v>
      </c>
      <c r="B5" t="s">
        <v>3625</v>
      </c>
      <c r="C5" t="s">
        <v>22</v>
      </c>
      <c r="D5" t="s">
        <v>23</v>
      </c>
      <c r="E5" t="s">
        <v>24</v>
      </c>
      <c r="F5">
        <v>1</v>
      </c>
      <c r="G5" t="str">
        <f>IFERROR(INDEX(Tabela_Apple!B:B,MATCH(Apple[[#This Row],[Link Externo]],Tabela_Apple!C:C,0),1),"-")</f>
        <v>-</v>
      </c>
      <c r="H5">
        <v>186</v>
      </c>
      <c r="I5" s="3">
        <v>45816</v>
      </c>
    </row>
    <row r="6" spans="1:9" x14ac:dyDescent="0.25">
      <c r="A6">
        <v>5</v>
      </c>
      <c r="B6" t="s">
        <v>3643</v>
      </c>
      <c r="C6" t="s">
        <v>496</v>
      </c>
      <c r="D6" t="s">
        <v>1132</v>
      </c>
      <c r="E6" t="s">
        <v>1133</v>
      </c>
      <c r="F6">
        <v>1</v>
      </c>
      <c r="G6" t="str">
        <f>IFERROR(INDEX(Tabela_Apple!B:B,MATCH(Apple[[#This Row],[Link Externo]],Tabela_Apple!C:C,0),1),"-")</f>
        <v>-</v>
      </c>
      <c r="H6">
        <v>96</v>
      </c>
      <c r="I6" s="3">
        <v>45814</v>
      </c>
    </row>
    <row r="7" spans="1:9" x14ac:dyDescent="0.25">
      <c r="A7">
        <v>6</v>
      </c>
      <c r="B7" t="s">
        <v>3627</v>
      </c>
      <c r="C7" t="s">
        <v>107</v>
      </c>
      <c r="D7" t="s">
        <v>108</v>
      </c>
      <c r="E7" t="s">
        <v>109</v>
      </c>
      <c r="F7">
        <v>2</v>
      </c>
      <c r="G7" t="str">
        <f>IFERROR(INDEX(Tabela_Apple!B:B,MATCH(Apple[[#This Row],[Link Externo]],Tabela_Apple!C:C,0),1),"-")</f>
        <v>-</v>
      </c>
      <c r="H7">
        <v>148</v>
      </c>
      <c r="I7" s="3">
        <v>45889</v>
      </c>
    </row>
    <row r="8" spans="1:9" x14ac:dyDescent="0.25">
      <c r="A8">
        <v>7</v>
      </c>
      <c r="B8" t="s">
        <v>3630</v>
      </c>
      <c r="C8" t="s">
        <v>1050</v>
      </c>
      <c r="D8" t="s">
        <v>1051</v>
      </c>
      <c r="E8" t="s">
        <v>12</v>
      </c>
      <c r="F8">
        <v>3</v>
      </c>
      <c r="G8">
        <f>IFERROR(INDEX(Tabela_Apple!B:B,MATCH(Apple[[#This Row],[Link Externo]],Tabela_Apple!C:C,0),1),"-")</f>
        <v>4</v>
      </c>
      <c r="H8">
        <v>18</v>
      </c>
      <c r="I8" s="3">
        <v>45893</v>
      </c>
    </row>
    <row r="9" spans="1:9" x14ac:dyDescent="0.25">
      <c r="A9">
        <v>8</v>
      </c>
      <c r="B9" t="s">
        <v>3632</v>
      </c>
      <c r="C9" t="s">
        <v>641</v>
      </c>
      <c r="D9" t="s">
        <v>1506</v>
      </c>
      <c r="E9" t="s">
        <v>232</v>
      </c>
      <c r="F9">
        <v>1</v>
      </c>
      <c r="G9" t="str">
        <f>IFERROR(INDEX(Tabela_Apple!B:B,MATCH(Apple[[#This Row],[Link Externo]],Tabela_Apple!C:C,0),1),"-")</f>
        <v>-</v>
      </c>
      <c r="H9">
        <v>217</v>
      </c>
      <c r="I9" s="3">
        <v>45691</v>
      </c>
    </row>
    <row r="10" spans="1:9" x14ac:dyDescent="0.25">
      <c r="A10">
        <v>9</v>
      </c>
      <c r="B10" t="s">
        <v>3628</v>
      </c>
      <c r="C10" t="s">
        <v>152</v>
      </c>
      <c r="D10" t="s">
        <v>3629</v>
      </c>
      <c r="E10" t="s">
        <v>12</v>
      </c>
      <c r="F10">
        <v>3</v>
      </c>
      <c r="G10" t="str">
        <f>IFERROR(INDEX(Tabela_Apple!B:B,MATCH(Apple[[#This Row],[Link Externo]],Tabela_Apple!C:C,0),1),"-")</f>
        <v>-</v>
      </c>
      <c r="H10">
        <v>1018</v>
      </c>
      <c r="I10" s="3">
        <v>45837</v>
      </c>
    </row>
    <row r="11" spans="1:9" x14ac:dyDescent="0.25">
      <c r="A11">
        <v>10</v>
      </c>
      <c r="B11" t="s">
        <v>3637</v>
      </c>
      <c r="C11" t="s">
        <v>273</v>
      </c>
      <c r="D11" t="s">
        <v>274</v>
      </c>
      <c r="E11" t="s">
        <v>1015</v>
      </c>
      <c r="F11">
        <v>7</v>
      </c>
      <c r="G11" t="str">
        <f>IFERROR(INDEX(Tabela_Apple!B:B,MATCH(Apple[[#This Row],[Link Externo]],Tabela_Apple!C:C,0),1),"-")</f>
        <v>-</v>
      </c>
      <c r="H11">
        <v>65</v>
      </c>
      <c r="I11" s="3">
        <v>45882</v>
      </c>
    </row>
    <row r="12" spans="1:9" x14ac:dyDescent="0.25">
      <c r="A12">
        <v>11</v>
      </c>
      <c r="B12" t="s">
        <v>3633</v>
      </c>
      <c r="C12" t="s">
        <v>230</v>
      </c>
      <c r="D12" t="s">
        <v>231</v>
      </c>
      <c r="E12" t="s">
        <v>1311</v>
      </c>
      <c r="F12">
        <v>1</v>
      </c>
      <c r="G12" t="str">
        <f>IFERROR(INDEX(Tabela_Apple!B:B,MATCH(Apple[[#This Row],[Link Externo]],Tabela_Apple!C:C,0),1),"-")</f>
        <v>-</v>
      </c>
      <c r="H12">
        <v>389</v>
      </c>
      <c r="I12" s="3">
        <v>45520</v>
      </c>
    </row>
    <row r="13" spans="1:9" x14ac:dyDescent="0.25">
      <c r="A13">
        <v>12</v>
      </c>
      <c r="B13" t="s">
        <v>3626</v>
      </c>
      <c r="C13" t="s">
        <v>33</v>
      </c>
      <c r="D13" t="s">
        <v>34</v>
      </c>
      <c r="E13" t="s">
        <v>12</v>
      </c>
      <c r="F13">
        <v>1</v>
      </c>
      <c r="G13" t="str">
        <f>IFERROR(INDEX(Tabela_Apple!B:B,MATCH(Apple[[#This Row],[Link Externo]],Tabela_Apple!C:C,0),1),"-")</f>
        <v>-</v>
      </c>
      <c r="H13">
        <v>371</v>
      </c>
      <c r="I13" s="3">
        <v>45683</v>
      </c>
    </row>
    <row r="14" spans="1:9" x14ac:dyDescent="0.25">
      <c r="A14">
        <v>13</v>
      </c>
      <c r="B14" t="s">
        <v>3634</v>
      </c>
      <c r="C14" t="s">
        <v>247</v>
      </c>
      <c r="D14" t="s">
        <v>3635</v>
      </c>
      <c r="E14" t="s">
        <v>12</v>
      </c>
      <c r="F14">
        <v>11</v>
      </c>
      <c r="G14" t="str">
        <f>IFERROR(INDEX(Tabela_Apple!B:B,MATCH(Apple[[#This Row],[Link Externo]],Tabela_Apple!C:C,0),1),"-")</f>
        <v>-</v>
      </c>
      <c r="H14">
        <v>278</v>
      </c>
      <c r="I14" s="3">
        <v>45893</v>
      </c>
    </row>
    <row r="15" spans="1:9" x14ac:dyDescent="0.25">
      <c r="A15">
        <v>14</v>
      </c>
      <c r="B15" t="s">
        <v>3631</v>
      </c>
      <c r="C15" t="s">
        <v>36</v>
      </c>
      <c r="D15" t="s">
        <v>37</v>
      </c>
      <c r="E15" t="s">
        <v>12</v>
      </c>
      <c r="F15">
        <v>4</v>
      </c>
      <c r="G15" t="str">
        <f>IFERROR(INDEX(Tabela_Apple!B:B,MATCH(Apple[[#This Row],[Link Externo]],Tabela_Apple!C:C,0),1),"-")</f>
        <v>-</v>
      </c>
      <c r="H15">
        <v>165</v>
      </c>
      <c r="I15" s="3">
        <v>45844</v>
      </c>
    </row>
    <row r="16" spans="1:9" x14ac:dyDescent="0.25">
      <c r="A16">
        <v>15</v>
      </c>
      <c r="B16" t="s">
        <v>4238</v>
      </c>
      <c r="C16" t="s">
        <v>496</v>
      </c>
      <c r="D16" t="s">
        <v>4239</v>
      </c>
      <c r="E16" t="s">
        <v>1133</v>
      </c>
      <c r="F16">
        <v>6</v>
      </c>
      <c r="G16" t="str">
        <f>IFERROR(INDEX(Tabela_Apple!B:B,MATCH(Apple[[#This Row],[Link Externo]],Tabela_Apple!C:C,0),1),"-")</f>
        <v>-</v>
      </c>
      <c r="H16">
        <v>11</v>
      </c>
      <c r="I16" s="3">
        <v>45902</v>
      </c>
    </row>
    <row r="17" spans="1:9" x14ac:dyDescent="0.25">
      <c r="A17">
        <v>16</v>
      </c>
      <c r="B17" t="s">
        <v>4240</v>
      </c>
      <c r="C17" t="s">
        <v>496</v>
      </c>
      <c r="D17" t="s">
        <v>4241</v>
      </c>
      <c r="E17" t="s">
        <v>1133</v>
      </c>
      <c r="F17">
        <v>5</v>
      </c>
      <c r="G17" t="str">
        <f>IFERROR(INDEX(Tabela_Apple!B:B,MATCH(Apple[[#This Row],[Link Externo]],Tabela_Apple!C:C,0),1),"-")</f>
        <v>-</v>
      </c>
      <c r="H17">
        <v>11</v>
      </c>
      <c r="I17" s="3">
        <v>45902</v>
      </c>
    </row>
    <row r="18" spans="1:9" x14ac:dyDescent="0.25">
      <c r="A18">
        <v>17</v>
      </c>
      <c r="B18" t="s">
        <v>4230</v>
      </c>
      <c r="C18" t="s">
        <v>496</v>
      </c>
      <c r="D18" t="s">
        <v>4231</v>
      </c>
      <c r="E18" t="s">
        <v>1133</v>
      </c>
      <c r="F18">
        <v>3</v>
      </c>
      <c r="G18" t="str">
        <f>IFERROR(INDEX(Tabela_Apple!B:B,MATCH(Apple[[#This Row],[Link Externo]],Tabela_Apple!C:C,0),1),"-")</f>
        <v>-</v>
      </c>
      <c r="H18">
        <v>11</v>
      </c>
      <c r="I18" s="3">
        <v>45898</v>
      </c>
    </row>
    <row r="19" spans="1:9" x14ac:dyDescent="0.25">
      <c r="A19">
        <v>18</v>
      </c>
      <c r="B19" t="s">
        <v>4490</v>
      </c>
      <c r="C19" t="s">
        <v>93</v>
      </c>
      <c r="D19" t="s">
        <v>94</v>
      </c>
      <c r="E19" t="s">
        <v>24</v>
      </c>
      <c r="F19">
        <v>14</v>
      </c>
      <c r="G19" t="str">
        <f>IFERROR(INDEX(Tabela_Apple!B:B,MATCH(Apple[[#This Row],[Link Externo]],Tabela_Apple!C:C,0),1),"-")</f>
        <v>-</v>
      </c>
      <c r="H19">
        <v>8</v>
      </c>
      <c r="I19" s="3">
        <v>45906</v>
      </c>
    </row>
    <row r="20" spans="1:9" x14ac:dyDescent="0.25">
      <c r="A20">
        <v>19</v>
      </c>
      <c r="B20" t="s">
        <v>3662</v>
      </c>
      <c r="C20" t="s">
        <v>641</v>
      </c>
      <c r="D20" t="s">
        <v>3663</v>
      </c>
      <c r="E20" t="s">
        <v>232</v>
      </c>
      <c r="F20">
        <v>2</v>
      </c>
      <c r="G20" t="str">
        <f>IFERROR(INDEX(Tabela_Apple!B:B,MATCH(Apple[[#This Row],[Link Externo]],Tabela_Apple!C:C,0),1),"-")</f>
        <v>-</v>
      </c>
      <c r="H20">
        <v>186</v>
      </c>
      <c r="I20" s="3">
        <v>45724</v>
      </c>
    </row>
    <row r="21" spans="1:9" x14ac:dyDescent="0.25">
      <c r="A21">
        <v>20</v>
      </c>
      <c r="B21" t="s">
        <v>4232</v>
      </c>
      <c r="C21" t="s">
        <v>496</v>
      </c>
      <c r="D21" t="s">
        <v>4233</v>
      </c>
      <c r="E21" t="s">
        <v>1133</v>
      </c>
      <c r="F21">
        <v>4</v>
      </c>
      <c r="G21" t="str">
        <f>IFERROR(INDEX(Tabela_Apple!B:B,MATCH(Apple[[#This Row],[Link Externo]],Tabela_Apple!C:C,0),1),"-")</f>
        <v>-</v>
      </c>
      <c r="H21">
        <v>11</v>
      </c>
      <c r="I21" s="3">
        <v>45898</v>
      </c>
    </row>
    <row r="22" spans="1:9" x14ac:dyDescent="0.25">
      <c r="A22">
        <v>21</v>
      </c>
      <c r="B22" t="s">
        <v>3638</v>
      </c>
      <c r="C22" t="s">
        <v>335</v>
      </c>
      <c r="D22" t="s">
        <v>336</v>
      </c>
      <c r="E22" t="s">
        <v>268</v>
      </c>
      <c r="F22">
        <v>3</v>
      </c>
      <c r="G22" t="str">
        <f>IFERROR(INDEX(Tabela_Apple!B:B,MATCH(Apple[[#This Row],[Link Externo]],Tabela_Apple!C:C,0),1),"-")</f>
        <v>-</v>
      </c>
      <c r="H22">
        <v>573</v>
      </c>
      <c r="I22" s="3">
        <v>45400</v>
      </c>
    </row>
    <row r="23" spans="1:9" x14ac:dyDescent="0.25">
      <c r="A23">
        <v>22</v>
      </c>
      <c r="B23" t="s">
        <v>3636</v>
      </c>
      <c r="C23" t="s">
        <v>43</v>
      </c>
      <c r="D23" t="s">
        <v>44</v>
      </c>
      <c r="E23" t="s">
        <v>31</v>
      </c>
      <c r="F23">
        <v>5</v>
      </c>
      <c r="G23" t="str">
        <f>IFERROR(INDEX(Tabela_Apple!B:B,MATCH(Apple[[#This Row],[Link Externo]],Tabela_Apple!C:C,0),1),"-")</f>
        <v>-</v>
      </c>
      <c r="H23">
        <v>347</v>
      </c>
      <c r="I23" s="3">
        <v>45837</v>
      </c>
    </row>
    <row r="24" spans="1:9" x14ac:dyDescent="0.25">
      <c r="A24">
        <v>23</v>
      </c>
      <c r="B24" t="s">
        <v>4244</v>
      </c>
      <c r="C24" t="s">
        <v>496</v>
      </c>
      <c r="D24" t="s">
        <v>4245</v>
      </c>
      <c r="E24" t="s">
        <v>1133</v>
      </c>
      <c r="F24">
        <v>10</v>
      </c>
      <c r="G24" t="str">
        <f>IFERROR(INDEX(Tabela_Apple!B:B,MATCH(Apple[[#This Row],[Link Externo]],Tabela_Apple!C:C,0),1),"-")</f>
        <v>-</v>
      </c>
      <c r="H24">
        <v>11</v>
      </c>
      <c r="I24" s="3">
        <v>45902</v>
      </c>
    </row>
    <row r="25" spans="1:9" x14ac:dyDescent="0.25">
      <c r="A25">
        <v>24</v>
      </c>
      <c r="B25" t="s">
        <v>4236</v>
      </c>
      <c r="C25" t="s">
        <v>496</v>
      </c>
      <c r="D25" t="s">
        <v>4237</v>
      </c>
      <c r="E25" t="s">
        <v>1133</v>
      </c>
      <c r="F25">
        <v>7</v>
      </c>
      <c r="G25" t="str">
        <f>IFERROR(INDEX(Tabela_Apple!B:B,MATCH(Apple[[#This Row],[Link Externo]],Tabela_Apple!C:C,0),1),"-")</f>
        <v>-</v>
      </c>
      <c r="H25">
        <v>11</v>
      </c>
      <c r="I25" s="3">
        <v>45898</v>
      </c>
    </row>
    <row r="26" spans="1:9" x14ac:dyDescent="0.25">
      <c r="A26">
        <v>25</v>
      </c>
      <c r="B26" t="s">
        <v>3646</v>
      </c>
      <c r="C26" t="s">
        <v>481</v>
      </c>
      <c r="D26" t="s">
        <v>1119</v>
      </c>
      <c r="E26" t="s">
        <v>1120</v>
      </c>
      <c r="F26">
        <v>1</v>
      </c>
      <c r="G26" t="str">
        <f>IFERROR(INDEX(Tabela_Apple!B:B,MATCH(Apple[[#This Row],[Link Externo]],Tabela_Apple!C:C,0),1),"-")</f>
        <v>-</v>
      </c>
      <c r="H26">
        <v>480</v>
      </c>
      <c r="I26" s="3">
        <v>45516</v>
      </c>
    </row>
    <row r="27" spans="1:9" x14ac:dyDescent="0.25">
      <c r="A27">
        <v>26</v>
      </c>
      <c r="B27" t="s">
        <v>3798</v>
      </c>
      <c r="C27" t="s">
        <v>1059</v>
      </c>
      <c r="D27" t="s">
        <v>1060</v>
      </c>
      <c r="E27" t="s">
        <v>1061</v>
      </c>
      <c r="F27">
        <v>2</v>
      </c>
      <c r="G27" t="str">
        <f>IFERROR(INDEX(Tabela_Apple!B:B,MATCH(Apple[[#This Row],[Link Externo]],Tabela_Apple!C:C,0),1),"-")</f>
        <v>-</v>
      </c>
      <c r="H27">
        <v>17</v>
      </c>
      <c r="I27" s="3">
        <v>45891</v>
      </c>
    </row>
    <row r="28" spans="1:9" x14ac:dyDescent="0.25">
      <c r="A28">
        <v>27</v>
      </c>
      <c r="B28" t="s">
        <v>3642</v>
      </c>
      <c r="C28" t="s">
        <v>152</v>
      </c>
      <c r="D28" t="s">
        <v>3495</v>
      </c>
      <c r="E28" t="s">
        <v>12</v>
      </c>
      <c r="F28">
        <v>7</v>
      </c>
      <c r="G28" t="str">
        <f>IFERROR(INDEX(Tabela_Apple!B:B,MATCH(Apple[[#This Row],[Link Externo]],Tabela_Apple!C:C,0),1),"-")</f>
        <v>-</v>
      </c>
      <c r="H28">
        <v>1166</v>
      </c>
      <c r="I28" s="3">
        <v>44709</v>
      </c>
    </row>
    <row r="29" spans="1:9" x14ac:dyDescent="0.25">
      <c r="A29">
        <v>28</v>
      </c>
      <c r="B29" t="s">
        <v>4248</v>
      </c>
      <c r="C29" t="s">
        <v>496</v>
      </c>
      <c r="D29" t="s">
        <v>4249</v>
      </c>
      <c r="E29" t="s">
        <v>1133</v>
      </c>
      <c r="F29">
        <v>12</v>
      </c>
      <c r="G29" t="str">
        <f>IFERROR(INDEX(Tabela_Apple!B:B,MATCH(Apple[[#This Row],[Link Externo]],Tabela_Apple!C:C,0),1),"-")</f>
        <v>-</v>
      </c>
      <c r="H29">
        <v>11</v>
      </c>
      <c r="I29" s="3">
        <v>45901</v>
      </c>
    </row>
    <row r="30" spans="1:9" x14ac:dyDescent="0.25">
      <c r="A30">
        <v>29</v>
      </c>
      <c r="B30" t="s">
        <v>4234</v>
      </c>
      <c r="C30" t="s">
        <v>496</v>
      </c>
      <c r="D30" t="s">
        <v>4235</v>
      </c>
      <c r="E30" t="s">
        <v>1133</v>
      </c>
      <c r="F30">
        <v>5</v>
      </c>
      <c r="G30" t="str">
        <f>IFERROR(INDEX(Tabela_Apple!B:B,MATCH(Apple[[#This Row],[Link Externo]],Tabela_Apple!C:C,0),1),"-")</f>
        <v>-</v>
      </c>
      <c r="H30">
        <v>11</v>
      </c>
      <c r="I30" s="3">
        <v>45898</v>
      </c>
    </row>
    <row r="31" spans="1:9" x14ac:dyDescent="0.25">
      <c r="A31">
        <v>30</v>
      </c>
      <c r="B31" t="s">
        <v>3658</v>
      </c>
      <c r="C31" t="s">
        <v>381</v>
      </c>
      <c r="D31" t="s">
        <v>382</v>
      </c>
      <c r="E31" t="s">
        <v>268</v>
      </c>
      <c r="F31">
        <v>7</v>
      </c>
      <c r="G31" t="str">
        <f>IFERROR(INDEX(Tabela_Apple!B:B,MATCH(Apple[[#This Row],[Link Externo]],Tabela_Apple!C:C,0),1),"-")</f>
        <v>-</v>
      </c>
      <c r="H31">
        <v>558</v>
      </c>
      <c r="I31" s="3">
        <v>45626</v>
      </c>
    </row>
    <row r="32" spans="1:9" x14ac:dyDescent="0.25">
      <c r="A32">
        <v>31</v>
      </c>
      <c r="B32" t="s">
        <v>3639</v>
      </c>
      <c r="C32" t="s">
        <v>93</v>
      </c>
      <c r="D32" t="s">
        <v>2916</v>
      </c>
      <c r="E32" t="s">
        <v>24</v>
      </c>
      <c r="F32">
        <v>12</v>
      </c>
      <c r="G32" t="str">
        <f>IFERROR(INDEX(Tabela_Apple!B:B,MATCH(Apple[[#This Row],[Link Externo]],Tabela_Apple!C:C,0),1),"-")</f>
        <v>-</v>
      </c>
      <c r="H32">
        <v>213</v>
      </c>
      <c r="I32" s="3">
        <v>45830</v>
      </c>
    </row>
    <row r="33" spans="1:9" x14ac:dyDescent="0.25">
      <c r="A33">
        <v>32</v>
      </c>
      <c r="B33" t="s">
        <v>4242</v>
      </c>
      <c r="C33" t="s">
        <v>496</v>
      </c>
      <c r="D33" t="s">
        <v>4243</v>
      </c>
      <c r="E33" t="s">
        <v>1133</v>
      </c>
      <c r="F33">
        <v>10</v>
      </c>
      <c r="G33" t="str">
        <f>IFERROR(INDEX(Tabela_Apple!B:B,MATCH(Apple[[#This Row],[Link Externo]],Tabela_Apple!C:C,0),1),"-")</f>
        <v>-</v>
      </c>
      <c r="H33">
        <v>11</v>
      </c>
      <c r="I33" s="3">
        <v>45898</v>
      </c>
    </row>
    <row r="34" spans="1:9" x14ac:dyDescent="0.25">
      <c r="A34">
        <v>33</v>
      </c>
      <c r="B34" t="s">
        <v>3645</v>
      </c>
      <c r="C34" t="s">
        <v>247</v>
      </c>
      <c r="D34" t="s">
        <v>361</v>
      </c>
      <c r="E34" t="s">
        <v>12</v>
      </c>
      <c r="F34">
        <v>14</v>
      </c>
      <c r="G34" t="str">
        <f>IFERROR(INDEX(Tabela_Apple!B:B,MATCH(Apple[[#This Row],[Link Externo]],Tabela_Apple!C:C,0),1),"-")</f>
        <v>-</v>
      </c>
      <c r="H34">
        <v>300</v>
      </c>
      <c r="I34" s="3">
        <v>45827</v>
      </c>
    </row>
    <row r="35" spans="1:9" x14ac:dyDescent="0.25">
      <c r="A35">
        <v>34</v>
      </c>
      <c r="B35" t="s">
        <v>3647</v>
      </c>
      <c r="C35" t="s">
        <v>46</v>
      </c>
      <c r="D35" t="s">
        <v>3648</v>
      </c>
      <c r="E35" t="s">
        <v>12</v>
      </c>
      <c r="F35">
        <v>23</v>
      </c>
      <c r="G35" t="str">
        <f>IFERROR(INDEX(Tabela_Apple!B:B,MATCH(Apple[[#This Row],[Link Externo]],Tabela_Apple!C:C,0),1),"-")</f>
        <v>-</v>
      </c>
      <c r="H35">
        <v>28</v>
      </c>
      <c r="I35" s="3">
        <v>45893</v>
      </c>
    </row>
    <row r="36" spans="1:9" x14ac:dyDescent="0.25">
      <c r="A36">
        <v>35</v>
      </c>
      <c r="B36" t="s">
        <v>3640</v>
      </c>
      <c r="C36" t="s">
        <v>499</v>
      </c>
      <c r="D36" t="s">
        <v>500</v>
      </c>
      <c r="E36" t="s">
        <v>501</v>
      </c>
      <c r="F36">
        <v>1</v>
      </c>
      <c r="G36" t="str">
        <f>IFERROR(INDEX(Tabela_Apple!B:B,MATCH(Apple[[#This Row],[Link Externo]],Tabela_Apple!C:C,0),1),"-")</f>
        <v>-</v>
      </c>
      <c r="H36">
        <v>60</v>
      </c>
      <c r="I36" s="3">
        <v>45850</v>
      </c>
    </row>
    <row r="37" spans="1:9" x14ac:dyDescent="0.25">
      <c r="A37">
        <v>36</v>
      </c>
      <c r="B37" t="s">
        <v>3697</v>
      </c>
      <c r="C37" t="s">
        <v>503</v>
      </c>
      <c r="D37" t="s">
        <v>504</v>
      </c>
      <c r="E37" t="s">
        <v>505</v>
      </c>
      <c r="F37">
        <v>22</v>
      </c>
      <c r="G37" t="str">
        <f>IFERROR(INDEX(Tabela_Apple!B:B,MATCH(Apple[[#This Row],[Link Externo]],Tabela_Apple!C:C,0),1),"-")</f>
        <v>-</v>
      </c>
      <c r="H37">
        <v>69</v>
      </c>
      <c r="I37" s="3">
        <v>45833</v>
      </c>
    </row>
    <row r="38" spans="1:9" x14ac:dyDescent="0.25">
      <c r="A38">
        <v>37</v>
      </c>
      <c r="B38" t="s">
        <v>3685</v>
      </c>
      <c r="C38" t="s">
        <v>43</v>
      </c>
      <c r="D38" t="s">
        <v>121</v>
      </c>
      <c r="E38" t="s">
        <v>31</v>
      </c>
      <c r="F38">
        <v>14</v>
      </c>
      <c r="G38" t="str">
        <f>IFERROR(INDEX(Tabela_Apple!B:B,MATCH(Apple[[#This Row],[Link Externo]],Tabela_Apple!C:C,0),1),"-")</f>
        <v>-</v>
      </c>
      <c r="H38">
        <v>285</v>
      </c>
      <c r="I38" s="3">
        <v>45843</v>
      </c>
    </row>
    <row r="39" spans="1:9" x14ac:dyDescent="0.25">
      <c r="A39">
        <v>38</v>
      </c>
      <c r="B39" t="s">
        <v>3650</v>
      </c>
      <c r="C39" t="s">
        <v>298</v>
      </c>
      <c r="D39" t="s">
        <v>3651</v>
      </c>
      <c r="E39" t="s">
        <v>67</v>
      </c>
      <c r="F39">
        <v>13</v>
      </c>
      <c r="G39" t="str">
        <f>IFERROR(INDEX(Tabela_Apple!B:B,MATCH(Apple[[#This Row],[Link Externo]],Tabela_Apple!C:C,0),1),"-")</f>
        <v>-</v>
      </c>
      <c r="H39">
        <v>1062</v>
      </c>
      <c r="I39" s="3">
        <v>44548</v>
      </c>
    </row>
    <row r="40" spans="1:9" x14ac:dyDescent="0.25">
      <c r="A40">
        <v>39</v>
      </c>
      <c r="B40" t="s">
        <v>5189</v>
      </c>
      <c r="C40" t="s">
        <v>1377</v>
      </c>
      <c r="D40" t="s">
        <v>1496</v>
      </c>
      <c r="E40" t="s">
        <v>1379</v>
      </c>
      <c r="F40">
        <v>13</v>
      </c>
      <c r="G40" t="str">
        <f>IFERROR(INDEX(Tabela_Apple!B:B,MATCH(Apple[[#This Row],[Link Externo]],Tabela_Apple!C:C,0),1),"-")</f>
        <v>-</v>
      </c>
      <c r="H40">
        <v>178</v>
      </c>
      <c r="I40" s="3">
        <v>45713</v>
      </c>
    </row>
    <row r="41" spans="1:9" x14ac:dyDescent="0.25">
      <c r="A41">
        <v>40</v>
      </c>
      <c r="B41" t="s">
        <v>3641</v>
      </c>
      <c r="C41" t="s">
        <v>152</v>
      </c>
      <c r="D41" t="s">
        <v>153</v>
      </c>
      <c r="E41" t="s">
        <v>12</v>
      </c>
      <c r="F41">
        <v>8</v>
      </c>
      <c r="G41" t="str">
        <f>IFERROR(INDEX(Tabela_Apple!B:B,MATCH(Apple[[#This Row],[Link Externo]],Tabela_Apple!C:C,0),1),"-")</f>
        <v>-</v>
      </c>
      <c r="H41">
        <v>305</v>
      </c>
      <c r="I41" s="3">
        <v>45627</v>
      </c>
    </row>
    <row r="42" spans="1:9" x14ac:dyDescent="0.25">
      <c r="A42">
        <v>41</v>
      </c>
      <c r="B42" t="s">
        <v>3656</v>
      </c>
      <c r="C42" t="s">
        <v>635</v>
      </c>
      <c r="D42" t="s">
        <v>1136</v>
      </c>
      <c r="E42" t="s">
        <v>109</v>
      </c>
      <c r="F42">
        <v>1</v>
      </c>
      <c r="G42" t="str">
        <f>IFERROR(INDEX(Tabela_Apple!B:B,MATCH(Apple[[#This Row],[Link Externo]],Tabela_Apple!C:C,0),1),"-")</f>
        <v>-</v>
      </c>
      <c r="H42">
        <v>326</v>
      </c>
      <c r="I42" s="3">
        <v>45589</v>
      </c>
    </row>
    <row r="43" spans="1:9" x14ac:dyDescent="0.25">
      <c r="A43">
        <v>42</v>
      </c>
      <c r="B43" t="s">
        <v>4750</v>
      </c>
      <c r="C43" t="s">
        <v>620</v>
      </c>
      <c r="D43" t="s">
        <v>4751</v>
      </c>
      <c r="E43" t="s">
        <v>4752</v>
      </c>
      <c r="F43">
        <v>23</v>
      </c>
      <c r="G43" t="str">
        <f>IFERROR(INDEX(Tabela_Apple!B:B,MATCH(Apple[[#This Row],[Link Externo]],Tabela_Apple!C:C,0),1),"-")</f>
        <v>-</v>
      </c>
      <c r="H43">
        <v>4</v>
      </c>
      <c r="I43" s="3">
        <v>45905</v>
      </c>
    </row>
    <row r="44" spans="1:9" x14ac:dyDescent="0.25">
      <c r="A44">
        <v>43</v>
      </c>
      <c r="B44" t="s">
        <v>3652</v>
      </c>
      <c r="C44" t="s">
        <v>46</v>
      </c>
      <c r="D44" t="s">
        <v>445</v>
      </c>
      <c r="E44" t="s">
        <v>12</v>
      </c>
      <c r="F44">
        <v>22</v>
      </c>
      <c r="G44" t="str">
        <f>IFERROR(INDEX(Tabela_Apple!B:B,MATCH(Apple[[#This Row],[Link Externo]],Tabela_Apple!C:C,0),1),"-")</f>
        <v>-</v>
      </c>
      <c r="H44">
        <v>148</v>
      </c>
      <c r="I44" s="3">
        <v>45822</v>
      </c>
    </row>
    <row r="45" spans="1:9" x14ac:dyDescent="0.25">
      <c r="A45">
        <v>44</v>
      </c>
      <c r="B45" t="s">
        <v>3653</v>
      </c>
      <c r="C45" t="s">
        <v>3654</v>
      </c>
      <c r="D45" t="s">
        <v>3655</v>
      </c>
      <c r="E45" t="s">
        <v>24</v>
      </c>
      <c r="F45">
        <v>13</v>
      </c>
      <c r="G45" t="str">
        <f>IFERROR(INDEX(Tabela_Apple!B:B,MATCH(Apple[[#This Row],[Link Externo]],Tabela_Apple!C:C,0),1),"-")</f>
        <v>-</v>
      </c>
      <c r="H45">
        <v>783</v>
      </c>
      <c r="I45" s="3">
        <v>45292</v>
      </c>
    </row>
    <row r="46" spans="1:9" x14ac:dyDescent="0.25">
      <c r="A46">
        <v>45</v>
      </c>
      <c r="B46" t="s">
        <v>3644</v>
      </c>
      <c r="C46" t="s">
        <v>18</v>
      </c>
      <c r="D46" t="s">
        <v>19</v>
      </c>
      <c r="E46" t="s">
        <v>20</v>
      </c>
      <c r="F46">
        <v>11</v>
      </c>
      <c r="G46">
        <f>IFERROR(INDEX(Tabela_Apple!B:B,MATCH(Apple[[#This Row],[Link Externo]],Tabela_Apple!C:C,0),1),"-")</f>
        <v>44</v>
      </c>
      <c r="H46">
        <v>71</v>
      </c>
      <c r="I46" s="3">
        <v>45868</v>
      </c>
    </row>
    <row r="47" spans="1:9" x14ac:dyDescent="0.25">
      <c r="A47">
        <v>46</v>
      </c>
      <c r="B47" t="s">
        <v>4494</v>
      </c>
      <c r="C47" t="s">
        <v>641</v>
      </c>
      <c r="D47" t="s">
        <v>4495</v>
      </c>
      <c r="E47" t="s">
        <v>232</v>
      </c>
      <c r="F47">
        <v>1</v>
      </c>
      <c r="G47" t="str">
        <f>IFERROR(INDEX(Tabela_Apple!B:B,MATCH(Apple[[#This Row],[Link Externo]],Tabela_Apple!C:C,0),1),"-")</f>
        <v>-</v>
      </c>
      <c r="H47">
        <v>184</v>
      </c>
      <c r="I47" s="3">
        <v>45723</v>
      </c>
    </row>
    <row r="48" spans="1:9" x14ac:dyDescent="0.25">
      <c r="A48">
        <v>47</v>
      </c>
      <c r="B48" t="s">
        <v>3673</v>
      </c>
      <c r="C48" t="s">
        <v>2955</v>
      </c>
      <c r="D48" t="s">
        <v>2956</v>
      </c>
      <c r="E48" t="s">
        <v>12</v>
      </c>
      <c r="F48">
        <v>4</v>
      </c>
      <c r="G48" t="str">
        <f>IFERROR(INDEX(Tabela_Apple!B:B,MATCH(Apple[[#This Row],[Link Externo]],Tabela_Apple!C:C,0),1),"-")</f>
        <v>-</v>
      </c>
      <c r="H48">
        <v>564</v>
      </c>
      <c r="I48" s="3">
        <v>45445</v>
      </c>
    </row>
    <row r="49" spans="1:9" x14ac:dyDescent="0.25">
      <c r="A49">
        <v>48</v>
      </c>
      <c r="B49" t="s">
        <v>3674</v>
      </c>
      <c r="C49" t="s">
        <v>496</v>
      </c>
      <c r="D49" t="s">
        <v>1175</v>
      </c>
      <c r="E49" t="s">
        <v>1133</v>
      </c>
      <c r="F49">
        <v>1</v>
      </c>
      <c r="G49" t="str">
        <f>IFERROR(INDEX(Tabela_Apple!B:B,MATCH(Apple[[#This Row],[Link Externo]],Tabela_Apple!C:C,0),1),"-")</f>
        <v>-</v>
      </c>
      <c r="H49">
        <v>515</v>
      </c>
      <c r="I49" s="3">
        <v>45397</v>
      </c>
    </row>
    <row r="50" spans="1:9" x14ac:dyDescent="0.25">
      <c r="A50">
        <v>49</v>
      </c>
      <c r="B50" t="s">
        <v>4246</v>
      </c>
      <c r="C50" t="s">
        <v>496</v>
      </c>
      <c r="D50" t="s">
        <v>4247</v>
      </c>
      <c r="E50" t="s">
        <v>1133</v>
      </c>
      <c r="F50">
        <v>12</v>
      </c>
      <c r="G50" t="str">
        <f>IFERROR(INDEX(Tabela_Apple!B:B,MATCH(Apple[[#This Row],[Link Externo]],Tabela_Apple!C:C,0),1),"-")</f>
        <v>-</v>
      </c>
      <c r="H50">
        <v>11</v>
      </c>
      <c r="I50" s="3">
        <v>45898</v>
      </c>
    </row>
    <row r="51" spans="1:9" x14ac:dyDescent="0.25">
      <c r="A51">
        <v>50</v>
      </c>
      <c r="B51" t="s">
        <v>3677</v>
      </c>
      <c r="C51" t="s">
        <v>481</v>
      </c>
      <c r="D51" t="s">
        <v>1157</v>
      </c>
      <c r="E51" t="s">
        <v>1120</v>
      </c>
      <c r="F51">
        <v>4</v>
      </c>
      <c r="G51" t="str">
        <f>IFERROR(INDEX(Tabela_Apple!B:B,MATCH(Apple[[#This Row],[Link Externo]],Tabela_Apple!C:C,0),1),"-")</f>
        <v>-</v>
      </c>
      <c r="H51">
        <v>480</v>
      </c>
      <c r="I51" s="3">
        <v>45431</v>
      </c>
    </row>
    <row r="52" spans="1:9" x14ac:dyDescent="0.25">
      <c r="A52">
        <v>51</v>
      </c>
      <c r="B52" t="s">
        <v>3688</v>
      </c>
      <c r="C52" t="s">
        <v>481</v>
      </c>
      <c r="D52" t="s">
        <v>3689</v>
      </c>
      <c r="E52" t="s">
        <v>1120</v>
      </c>
      <c r="F52">
        <v>1</v>
      </c>
      <c r="G52" t="str">
        <f>IFERROR(INDEX(Tabela_Apple!B:B,MATCH(Apple[[#This Row],[Link Externo]],Tabela_Apple!C:C,0),1),"-")</f>
        <v>-</v>
      </c>
      <c r="H52">
        <v>475</v>
      </c>
      <c r="I52" s="3">
        <v>45429</v>
      </c>
    </row>
    <row r="53" spans="1:9" x14ac:dyDescent="0.25">
      <c r="A53">
        <v>52</v>
      </c>
      <c r="B53" t="s">
        <v>3649</v>
      </c>
      <c r="C53" t="s">
        <v>49</v>
      </c>
      <c r="D53" t="s">
        <v>50</v>
      </c>
      <c r="E53" t="s">
        <v>24</v>
      </c>
      <c r="F53">
        <v>23</v>
      </c>
      <c r="G53" t="str">
        <f>IFERROR(INDEX(Tabela_Apple!B:B,MATCH(Apple[[#This Row],[Link Externo]],Tabela_Apple!C:C,0),1),"-")</f>
        <v>-</v>
      </c>
      <c r="H53">
        <v>65</v>
      </c>
      <c r="I53" s="3">
        <v>45857</v>
      </c>
    </row>
    <row r="54" spans="1:9" x14ac:dyDescent="0.25">
      <c r="A54">
        <v>53</v>
      </c>
      <c r="B54" t="s">
        <v>4491</v>
      </c>
      <c r="C54" t="s">
        <v>4492</v>
      </c>
      <c r="D54" t="s">
        <v>4493</v>
      </c>
      <c r="E54" t="s">
        <v>88</v>
      </c>
      <c r="F54">
        <v>51</v>
      </c>
      <c r="G54" t="str">
        <f>IFERROR(INDEX(Tabela_Apple!B:B,MATCH(Apple[[#This Row],[Link Externo]],Tabela_Apple!C:C,0),1),"-")</f>
        <v>-</v>
      </c>
      <c r="H54">
        <v>8</v>
      </c>
      <c r="I54" s="3">
        <v>45904</v>
      </c>
    </row>
    <row r="55" spans="1:9" x14ac:dyDescent="0.25">
      <c r="A55">
        <v>54</v>
      </c>
      <c r="B55" t="s">
        <v>3686</v>
      </c>
      <c r="C55" t="s">
        <v>788</v>
      </c>
      <c r="D55" t="s">
        <v>3687</v>
      </c>
      <c r="E55" t="s">
        <v>24</v>
      </c>
      <c r="F55">
        <v>5</v>
      </c>
      <c r="G55" t="str">
        <f>IFERROR(INDEX(Tabela_Apple!B:B,MATCH(Apple[[#This Row],[Link Externo]],Tabela_Apple!C:C,0),1),"-")</f>
        <v>-</v>
      </c>
      <c r="H55">
        <v>155</v>
      </c>
      <c r="I55" s="3">
        <v>45748</v>
      </c>
    </row>
    <row r="56" spans="1:9" x14ac:dyDescent="0.25">
      <c r="A56">
        <v>55</v>
      </c>
      <c r="B56" t="s">
        <v>3661</v>
      </c>
      <c r="C56" t="s">
        <v>43</v>
      </c>
      <c r="D56" t="s">
        <v>3497</v>
      </c>
      <c r="E56" t="s">
        <v>31</v>
      </c>
      <c r="F56">
        <v>6</v>
      </c>
      <c r="G56" t="str">
        <f>IFERROR(INDEX(Tabela_Apple!B:B,MATCH(Apple[[#This Row],[Link Externo]],Tabela_Apple!C:C,0),1),"-")</f>
        <v>-</v>
      </c>
      <c r="H56">
        <v>948</v>
      </c>
      <c r="I56" s="3">
        <v>45031</v>
      </c>
    </row>
    <row r="57" spans="1:9" x14ac:dyDescent="0.25">
      <c r="A57">
        <v>56</v>
      </c>
      <c r="B57" t="s">
        <v>5190</v>
      </c>
      <c r="C57" t="s">
        <v>620</v>
      </c>
      <c r="D57" t="s">
        <v>1116</v>
      </c>
      <c r="E57" t="s">
        <v>5191</v>
      </c>
      <c r="F57">
        <v>2</v>
      </c>
      <c r="G57" t="str">
        <f>IFERROR(INDEX(Tabela_Apple!B:B,MATCH(Apple[[#This Row],[Link Externo]],Tabela_Apple!C:C,0),1),"-")</f>
        <v>-</v>
      </c>
      <c r="H57">
        <v>56</v>
      </c>
      <c r="I57" s="3">
        <v>45849</v>
      </c>
    </row>
    <row r="58" spans="1:9" x14ac:dyDescent="0.25">
      <c r="A58">
        <v>57</v>
      </c>
      <c r="B58" t="s">
        <v>3698</v>
      </c>
      <c r="C58" t="s">
        <v>170</v>
      </c>
      <c r="D58" t="s">
        <v>171</v>
      </c>
      <c r="E58" t="s">
        <v>170</v>
      </c>
      <c r="F58">
        <v>26</v>
      </c>
      <c r="G58" t="str">
        <f>IFERROR(INDEX(Tabela_Apple!B:B,MATCH(Apple[[#This Row],[Link Externo]],Tabela_Apple!C:C,0),1),"-")</f>
        <v>-</v>
      </c>
      <c r="H58">
        <v>20</v>
      </c>
      <c r="I58" s="3">
        <v>45896</v>
      </c>
    </row>
    <row r="59" spans="1:9" x14ac:dyDescent="0.25">
      <c r="A59">
        <v>58</v>
      </c>
      <c r="B59" t="s">
        <v>4753</v>
      </c>
      <c r="C59" t="s">
        <v>641</v>
      </c>
      <c r="D59" t="s">
        <v>4754</v>
      </c>
      <c r="E59" t="s">
        <v>232</v>
      </c>
      <c r="F59">
        <v>5</v>
      </c>
      <c r="G59" t="str">
        <f>IFERROR(INDEX(Tabela_Apple!B:B,MATCH(Apple[[#This Row],[Link Externo]],Tabela_Apple!C:C,0),1),"-")</f>
        <v>-</v>
      </c>
      <c r="H59">
        <v>152</v>
      </c>
      <c r="I59" s="3">
        <v>45784</v>
      </c>
    </row>
    <row r="60" spans="1:9" x14ac:dyDescent="0.25">
      <c r="A60">
        <v>59</v>
      </c>
      <c r="B60" t="s">
        <v>3664</v>
      </c>
      <c r="C60" t="s">
        <v>152</v>
      </c>
      <c r="D60" t="s">
        <v>3665</v>
      </c>
      <c r="E60" t="s">
        <v>12</v>
      </c>
      <c r="F60">
        <v>2</v>
      </c>
      <c r="G60" t="str">
        <f>IFERROR(INDEX(Tabela_Apple!B:B,MATCH(Apple[[#This Row],[Link Externo]],Tabela_Apple!C:C,0),1),"-")</f>
        <v>-</v>
      </c>
      <c r="H60">
        <v>662</v>
      </c>
      <c r="I60" s="3">
        <v>43358</v>
      </c>
    </row>
    <row r="61" spans="1:9" x14ac:dyDescent="0.25">
      <c r="A61">
        <v>60</v>
      </c>
      <c r="B61" t="s">
        <v>3696</v>
      </c>
      <c r="C61" t="s">
        <v>628</v>
      </c>
      <c r="D61" t="s">
        <v>1331</v>
      </c>
      <c r="E61" t="s">
        <v>1015</v>
      </c>
      <c r="F61">
        <v>1</v>
      </c>
      <c r="G61" t="str">
        <f>IFERROR(INDEX(Tabela_Apple!B:B,MATCH(Apple[[#This Row],[Link Externo]],Tabela_Apple!C:C,0),1),"-")</f>
        <v>-</v>
      </c>
      <c r="H61">
        <v>1984</v>
      </c>
      <c r="I61" s="3">
        <v>44235</v>
      </c>
    </row>
    <row r="62" spans="1:9" x14ac:dyDescent="0.25">
      <c r="A62">
        <v>61</v>
      </c>
      <c r="B62" t="s">
        <v>3659</v>
      </c>
      <c r="C62" t="s">
        <v>43</v>
      </c>
      <c r="D62" t="s">
        <v>3660</v>
      </c>
      <c r="E62" t="s">
        <v>67</v>
      </c>
      <c r="F62">
        <v>33</v>
      </c>
      <c r="G62" t="str">
        <f>IFERROR(INDEX(Tabela_Apple!B:B,MATCH(Apple[[#This Row],[Link Externo]],Tabela_Apple!C:C,0),1),"-")</f>
        <v>-</v>
      </c>
      <c r="H62">
        <v>141</v>
      </c>
      <c r="I62" s="3">
        <v>45890</v>
      </c>
    </row>
    <row r="63" spans="1:9" x14ac:dyDescent="0.25">
      <c r="A63">
        <v>62</v>
      </c>
      <c r="B63" t="s">
        <v>3666</v>
      </c>
      <c r="C63" t="s">
        <v>14</v>
      </c>
      <c r="D63" t="s">
        <v>15</v>
      </c>
      <c r="E63" t="s">
        <v>953</v>
      </c>
      <c r="F63">
        <v>30</v>
      </c>
      <c r="G63" t="str">
        <f>IFERROR(INDEX(Tabela_Apple!B:B,MATCH(Apple[[#This Row],[Link Externo]],Tabela_Apple!C:C,0),1),"-")</f>
        <v>-</v>
      </c>
      <c r="H63">
        <v>22</v>
      </c>
      <c r="I63" s="3">
        <v>45887</v>
      </c>
    </row>
    <row r="64" spans="1:9" x14ac:dyDescent="0.25">
      <c r="A64">
        <v>63</v>
      </c>
      <c r="B64" t="s">
        <v>3671</v>
      </c>
      <c r="C64" t="s">
        <v>1094</v>
      </c>
      <c r="D64" t="s">
        <v>1095</v>
      </c>
      <c r="E64" t="s">
        <v>12</v>
      </c>
      <c r="F64">
        <v>6</v>
      </c>
      <c r="G64" t="str">
        <f>IFERROR(INDEX(Tabela_Apple!B:B,MATCH(Apple[[#This Row],[Link Externo]],Tabela_Apple!C:C,0),1),"-")</f>
        <v>-</v>
      </c>
      <c r="H64">
        <v>389</v>
      </c>
      <c r="I64" s="3">
        <v>45521</v>
      </c>
    </row>
    <row r="65" spans="1:9" x14ac:dyDescent="0.25">
      <c r="A65">
        <v>64</v>
      </c>
      <c r="B65" t="s">
        <v>5192</v>
      </c>
      <c r="C65" t="s">
        <v>503</v>
      </c>
      <c r="D65" t="s">
        <v>1293</v>
      </c>
      <c r="E65" t="s">
        <v>505</v>
      </c>
      <c r="F65">
        <v>60</v>
      </c>
      <c r="G65" t="str">
        <f>IFERROR(INDEX(Tabela_Apple!B:B,MATCH(Apple[[#This Row],[Link Externo]],Tabela_Apple!C:C,0),1),"-")</f>
        <v>-</v>
      </c>
      <c r="H65">
        <v>46</v>
      </c>
      <c r="I65" s="3">
        <v>45897</v>
      </c>
    </row>
    <row r="66" spans="1:9" x14ac:dyDescent="0.25">
      <c r="A66">
        <v>65</v>
      </c>
      <c r="B66" t="s">
        <v>3667</v>
      </c>
      <c r="C66" t="s">
        <v>46</v>
      </c>
      <c r="D66" t="s">
        <v>47</v>
      </c>
      <c r="E66" t="s">
        <v>12</v>
      </c>
      <c r="F66">
        <v>14</v>
      </c>
      <c r="G66" t="str">
        <f>IFERROR(INDEX(Tabela_Apple!B:B,MATCH(Apple[[#This Row],[Link Externo]],Tabela_Apple!C:C,0),1),"-")</f>
        <v>-</v>
      </c>
      <c r="H66">
        <v>108</v>
      </c>
      <c r="I66" s="3">
        <v>45803</v>
      </c>
    </row>
    <row r="67" spans="1:9" x14ac:dyDescent="0.25">
      <c r="A67">
        <v>66</v>
      </c>
      <c r="B67" t="s">
        <v>3668</v>
      </c>
      <c r="C67" t="s">
        <v>3669</v>
      </c>
      <c r="D67" t="s">
        <v>3670</v>
      </c>
      <c r="E67" t="s">
        <v>67</v>
      </c>
      <c r="F67">
        <v>33</v>
      </c>
      <c r="G67" t="str">
        <f>IFERROR(INDEX(Tabela_Apple!B:B,MATCH(Apple[[#This Row],[Link Externo]],Tabela_Apple!C:C,0),1),"-")</f>
        <v>-</v>
      </c>
      <c r="H67">
        <v>141</v>
      </c>
      <c r="I67" s="3">
        <v>45879</v>
      </c>
    </row>
    <row r="68" spans="1:9" x14ac:dyDescent="0.25">
      <c r="A68">
        <v>67</v>
      </c>
      <c r="B68" t="s">
        <v>3694</v>
      </c>
      <c r="C68" t="s">
        <v>368</v>
      </c>
      <c r="D68" t="s">
        <v>369</v>
      </c>
      <c r="E68" t="s">
        <v>370</v>
      </c>
      <c r="F68">
        <v>47</v>
      </c>
      <c r="G68" t="str">
        <f>IFERROR(INDEX(Tabela_Apple!B:B,MATCH(Apple[[#This Row],[Link Externo]],Tabela_Apple!C:C,0),1),"-")</f>
        <v>-</v>
      </c>
      <c r="H68">
        <v>239</v>
      </c>
      <c r="I68" s="3">
        <v>45879</v>
      </c>
    </row>
    <row r="69" spans="1:9" x14ac:dyDescent="0.25">
      <c r="A69">
        <v>68</v>
      </c>
      <c r="B69" t="s">
        <v>3676</v>
      </c>
      <c r="C69" t="s">
        <v>58</v>
      </c>
      <c r="D69" t="s">
        <v>59</v>
      </c>
      <c r="E69" t="s">
        <v>60</v>
      </c>
      <c r="F69">
        <v>2</v>
      </c>
      <c r="G69" t="str">
        <f>IFERROR(INDEX(Tabela_Apple!B:B,MATCH(Apple[[#This Row],[Link Externo]],Tabela_Apple!C:C,0),1),"-")</f>
        <v>-</v>
      </c>
      <c r="H69">
        <v>74</v>
      </c>
      <c r="I69" s="3">
        <v>45838</v>
      </c>
    </row>
    <row r="70" spans="1:9" x14ac:dyDescent="0.25">
      <c r="A70">
        <v>69</v>
      </c>
      <c r="B70" t="s">
        <v>3693</v>
      </c>
      <c r="C70" t="s">
        <v>1253</v>
      </c>
      <c r="D70" t="s">
        <v>1254</v>
      </c>
      <c r="E70" t="s">
        <v>1255</v>
      </c>
      <c r="F70">
        <v>7</v>
      </c>
      <c r="G70" t="str">
        <f>IFERROR(INDEX(Tabela_Apple!B:B,MATCH(Apple[[#This Row],[Link Externo]],Tabela_Apple!C:C,0),1),"-")</f>
        <v>-</v>
      </c>
      <c r="H70">
        <v>257</v>
      </c>
      <c r="I70" s="3">
        <v>45686</v>
      </c>
    </row>
    <row r="71" spans="1:9" x14ac:dyDescent="0.25">
      <c r="A71">
        <v>70</v>
      </c>
      <c r="B71" t="s">
        <v>3691</v>
      </c>
      <c r="C71" t="s">
        <v>841</v>
      </c>
      <c r="D71" t="s">
        <v>3692</v>
      </c>
      <c r="E71" t="s">
        <v>268</v>
      </c>
      <c r="F71">
        <v>22</v>
      </c>
      <c r="G71" t="str">
        <f>IFERROR(INDEX(Tabela_Apple!B:B,MATCH(Apple[[#This Row],[Link Externo]],Tabela_Apple!C:C,0),1),"-")</f>
        <v>-</v>
      </c>
      <c r="H71">
        <v>1013</v>
      </c>
      <c r="I71" s="3">
        <v>43356</v>
      </c>
    </row>
    <row r="72" spans="1:9" x14ac:dyDescent="0.25">
      <c r="A72">
        <v>71</v>
      </c>
      <c r="B72" t="s">
        <v>3672</v>
      </c>
      <c r="C72" t="s">
        <v>22</v>
      </c>
      <c r="D72" t="s">
        <v>207</v>
      </c>
      <c r="E72" t="s">
        <v>24</v>
      </c>
      <c r="F72">
        <v>22</v>
      </c>
      <c r="G72" t="str">
        <f>IFERROR(INDEX(Tabela_Apple!B:B,MATCH(Apple[[#This Row],[Link Externo]],Tabela_Apple!C:C,0),1),"-")</f>
        <v>-</v>
      </c>
      <c r="H72">
        <v>719</v>
      </c>
      <c r="I72" s="3">
        <v>43801</v>
      </c>
    </row>
    <row r="73" spans="1:9" x14ac:dyDescent="0.25">
      <c r="A73">
        <v>72</v>
      </c>
      <c r="B73" t="s">
        <v>5193</v>
      </c>
      <c r="C73" t="s">
        <v>429</v>
      </c>
      <c r="D73" t="s">
        <v>430</v>
      </c>
      <c r="E73" t="s">
        <v>131</v>
      </c>
      <c r="F73">
        <v>37</v>
      </c>
      <c r="G73" t="str">
        <f>IFERROR(INDEX(Tabela_Apple!B:B,MATCH(Apple[[#This Row],[Link Externo]],Tabela_Apple!C:C,0),1),"-")</f>
        <v>-</v>
      </c>
      <c r="H73">
        <v>246</v>
      </c>
      <c r="I73" s="3">
        <v>45881</v>
      </c>
    </row>
    <row r="74" spans="1:9" x14ac:dyDescent="0.25">
      <c r="A74">
        <v>73</v>
      </c>
      <c r="B74" t="s">
        <v>4756</v>
      </c>
      <c r="C74" t="s">
        <v>22</v>
      </c>
      <c r="D74" t="s">
        <v>205</v>
      </c>
      <c r="E74" t="s">
        <v>24</v>
      </c>
      <c r="F74">
        <v>47</v>
      </c>
      <c r="G74" t="str">
        <f>IFERROR(INDEX(Tabela_Apple!B:B,MATCH(Apple[[#This Row],[Link Externo]],Tabela_Apple!C:C,0),1),"-")</f>
        <v>-</v>
      </c>
      <c r="H74">
        <v>55</v>
      </c>
      <c r="I74" s="3">
        <v>45827</v>
      </c>
    </row>
    <row r="75" spans="1:9" x14ac:dyDescent="0.25">
      <c r="A75">
        <v>74</v>
      </c>
      <c r="B75" t="s">
        <v>3678</v>
      </c>
      <c r="C75" t="s">
        <v>552</v>
      </c>
      <c r="D75" t="s">
        <v>3679</v>
      </c>
      <c r="E75" t="s">
        <v>12</v>
      </c>
      <c r="F75">
        <v>1</v>
      </c>
      <c r="G75" t="str">
        <f>IFERROR(INDEX(Tabela_Apple!B:B,MATCH(Apple[[#This Row],[Link Externo]],Tabela_Apple!C:C,0),1),"-")</f>
        <v>-</v>
      </c>
      <c r="H75">
        <v>1004</v>
      </c>
      <c r="I75" s="3">
        <v>44930</v>
      </c>
    </row>
    <row r="76" spans="1:9" x14ac:dyDescent="0.25">
      <c r="A76">
        <v>75</v>
      </c>
      <c r="B76" t="s">
        <v>3675</v>
      </c>
      <c r="C76" t="s">
        <v>476</v>
      </c>
      <c r="D76" t="s">
        <v>477</v>
      </c>
      <c r="E76" t="s">
        <v>24</v>
      </c>
      <c r="F76">
        <v>15</v>
      </c>
      <c r="G76">
        <f>IFERROR(INDEX(Tabela_Apple!B:B,MATCH(Apple[[#This Row],[Link Externo]],Tabela_Apple!C:C,0),1),"-")</f>
        <v>66</v>
      </c>
      <c r="H76">
        <v>136</v>
      </c>
      <c r="I76" s="3">
        <v>45844</v>
      </c>
    </row>
    <row r="77" spans="1:9" x14ac:dyDescent="0.25">
      <c r="A77">
        <v>76</v>
      </c>
      <c r="B77" t="s">
        <v>5194</v>
      </c>
      <c r="C77" t="s">
        <v>788</v>
      </c>
      <c r="D77" t="s">
        <v>5195</v>
      </c>
      <c r="E77" t="s">
        <v>24</v>
      </c>
      <c r="F77">
        <v>4</v>
      </c>
      <c r="G77" t="str">
        <f>IFERROR(INDEX(Tabela_Apple!B:B,MATCH(Apple[[#This Row],[Link Externo]],Tabela_Apple!C:C,0),1),"-")</f>
        <v>-</v>
      </c>
      <c r="H77">
        <v>142</v>
      </c>
      <c r="I77" s="3">
        <v>45631</v>
      </c>
    </row>
    <row r="78" spans="1:9" x14ac:dyDescent="0.25">
      <c r="A78">
        <v>77</v>
      </c>
      <c r="B78" t="s">
        <v>4755</v>
      </c>
      <c r="C78" t="s">
        <v>62</v>
      </c>
      <c r="D78" t="s">
        <v>63</v>
      </c>
      <c r="E78" t="s">
        <v>24</v>
      </c>
      <c r="F78">
        <v>42</v>
      </c>
      <c r="G78" t="str">
        <f>IFERROR(INDEX(Tabela_Apple!B:B,MATCH(Apple[[#This Row],[Link Externo]],Tabela_Apple!C:C,0),1),"-")</f>
        <v>-</v>
      </c>
      <c r="H78">
        <v>56</v>
      </c>
      <c r="I78" s="3">
        <v>45907</v>
      </c>
    </row>
    <row r="79" spans="1:9" x14ac:dyDescent="0.25">
      <c r="A79">
        <v>78</v>
      </c>
      <c r="B79" t="s">
        <v>3683</v>
      </c>
      <c r="C79" t="s">
        <v>152</v>
      </c>
      <c r="D79" t="s">
        <v>3684</v>
      </c>
      <c r="E79" t="s">
        <v>12</v>
      </c>
      <c r="F79">
        <v>43</v>
      </c>
      <c r="G79" t="str">
        <f>IFERROR(INDEX(Tabela_Apple!B:B,MATCH(Apple[[#This Row],[Link Externo]],Tabela_Apple!C:C,0),1),"-")</f>
        <v>-</v>
      </c>
      <c r="H79">
        <v>180</v>
      </c>
      <c r="I79" s="3">
        <v>45887</v>
      </c>
    </row>
    <row r="80" spans="1:9" x14ac:dyDescent="0.25">
      <c r="A80">
        <v>79</v>
      </c>
      <c r="B80" t="s">
        <v>3695</v>
      </c>
      <c r="C80" t="s">
        <v>1522</v>
      </c>
      <c r="D80" t="s">
        <v>1523</v>
      </c>
      <c r="E80" t="s">
        <v>1436</v>
      </c>
      <c r="F80">
        <v>40</v>
      </c>
      <c r="G80" t="str">
        <f>IFERROR(INDEX(Tabela_Apple!B:B,MATCH(Apple[[#This Row],[Link Externo]],Tabela_Apple!C:C,0),1),"-")</f>
        <v>-</v>
      </c>
      <c r="H80">
        <v>808</v>
      </c>
      <c r="I80" s="3">
        <v>44813</v>
      </c>
    </row>
    <row r="81" spans="1:9" x14ac:dyDescent="0.25">
      <c r="A81">
        <v>80</v>
      </c>
      <c r="B81" t="s">
        <v>3680</v>
      </c>
      <c r="C81" t="s">
        <v>152</v>
      </c>
      <c r="D81" t="s">
        <v>3681</v>
      </c>
      <c r="E81" t="s">
        <v>12</v>
      </c>
      <c r="F81">
        <v>45</v>
      </c>
      <c r="G81" t="str">
        <f>IFERROR(INDEX(Tabela_Apple!B:B,MATCH(Apple[[#This Row],[Link Externo]],Tabela_Apple!C:C,0),1),"-")</f>
        <v>-</v>
      </c>
      <c r="H81">
        <v>143</v>
      </c>
      <c r="I81" s="3">
        <v>43927</v>
      </c>
    </row>
    <row r="82" spans="1:9" x14ac:dyDescent="0.25">
      <c r="A82">
        <v>81</v>
      </c>
      <c r="B82" t="s">
        <v>4721</v>
      </c>
      <c r="C82" t="s">
        <v>4722</v>
      </c>
      <c r="D82" t="s">
        <v>4723</v>
      </c>
      <c r="E82" t="s">
        <v>67</v>
      </c>
      <c r="F82">
        <v>69</v>
      </c>
      <c r="G82" t="str">
        <f>IFERROR(INDEX(Tabela_Apple!B:B,MATCH(Apple[[#This Row],[Link Externo]],Tabela_Apple!C:C,0),1),"-")</f>
        <v>-</v>
      </c>
      <c r="H82">
        <v>38</v>
      </c>
      <c r="I82" s="3">
        <v>45886</v>
      </c>
    </row>
    <row r="83" spans="1:9" x14ac:dyDescent="0.25">
      <c r="A83">
        <v>82</v>
      </c>
      <c r="B83" t="s">
        <v>5115</v>
      </c>
      <c r="C83" t="s">
        <v>697</v>
      </c>
      <c r="D83" t="s">
        <v>5116</v>
      </c>
      <c r="E83" t="s">
        <v>2177</v>
      </c>
      <c r="F83">
        <v>34</v>
      </c>
      <c r="G83" t="str">
        <f>IFERROR(INDEX(Tabela_Apple!B:B,MATCH(Apple[[#This Row],[Link Externo]],Tabela_Apple!C:C,0),1),"-")</f>
        <v>-</v>
      </c>
      <c r="H83">
        <v>193</v>
      </c>
      <c r="I83" s="3">
        <v>45889</v>
      </c>
    </row>
    <row r="84" spans="1:9" x14ac:dyDescent="0.25">
      <c r="A84">
        <v>83</v>
      </c>
      <c r="B84" t="s">
        <v>4919</v>
      </c>
      <c r="C84" t="s">
        <v>1091</v>
      </c>
      <c r="D84" t="s">
        <v>1092</v>
      </c>
      <c r="E84" t="s">
        <v>12</v>
      </c>
      <c r="F84">
        <v>36</v>
      </c>
      <c r="G84" t="str">
        <f>IFERROR(INDEX(Tabela_Apple!B:B,MATCH(Apple[[#This Row],[Link Externo]],Tabela_Apple!C:C,0),1),"-")</f>
        <v>-</v>
      </c>
      <c r="H84">
        <v>619</v>
      </c>
      <c r="I84" s="3">
        <v>45291</v>
      </c>
    </row>
    <row r="85" spans="1:9" x14ac:dyDescent="0.25">
      <c r="A85">
        <v>84</v>
      </c>
      <c r="B85" t="s">
        <v>5196</v>
      </c>
      <c r="C85" t="s">
        <v>329</v>
      </c>
      <c r="D85" t="s">
        <v>330</v>
      </c>
      <c r="E85" t="s">
        <v>268</v>
      </c>
      <c r="F85">
        <v>31</v>
      </c>
      <c r="G85" t="str">
        <f>IFERROR(INDEX(Tabela_Apple!B:B,MATCH(Apple[[#This Row],[Link Externo]],Tabela_Apple!C:C,0),1),"-")</f>
        <v>-</v>
      </c>
      <c r="H85">
        <v>247</v>
      </c>
      <c r="I85" s="3">
        <v>45569</v>
      </c>
    </row>
    <row r="86" spans="1:9" x14ac:dyDescent="0.25">
      <c r="A86">
        <v>85</v>
      </c>
      <c r="B86" t="s">
        <v>3682</v>
      </c>
      <c r="C86" t="s">
        <v>26</v>
      </c>
      <c r="D86" t="s">
        <v>27</v>
      </c>
      <c r="E86" t="s">
        <v>28</v>
      </c>
      <c r="F86">
        <v>33</v>
      </c>
      <c r="G86" t="str">
        <f>IFERROR(INDEX(Tabela_Apple!B:B,MATCH(Apple[[#This Row],[Link Externo]],Tabela_Apple!C:C,0),1),"-")</f>
        <v>-</v>
      </c>
      <c r="H86">
        <v>95</v>
      </c>
      <c r="I86" s="3">
        <v>45843</v>
      </c>
    </row>
    <row r="87" spans="1:9" x14ac:dyDescent="0.25">
      <c r="A87">
        <v>86</v>
      </c>
      <c r="B87" t="s">
        <v>4757</v>
      </c>
      <c r="C87" t="s">
        <v>234</v>
      </c>
      <c r="D87" t="s">
        <v>235</v>
      </c>
      <c r="E87" t="s">
        <v>12</v>
      </c>
      <c r="F87">
        <v>2</v>
      </c>
      <c r="G87" t="str">
        <f>IFERROR(INDEX(Tabela_Apple!B:B,MATCH(Apple[[#This Row],[Link Externo]],Tabela_Apple!C:C,0),1),"-")</f>
        <v>-</v>
      </c>
      <c r="H87">
        <v>383</v>
      </c>
      <c r="I87" s="3">
        <v>45332</v>
      </c>
    </row>
    <row r="88" spans="1:9" x14ac:dyDescent="0.25">
      <c r="A88">
        <v>87</v>
      </c>
      <c r="B88" t="s">
        <v>4923</v>
      </c>
      <c r="C88" t="s">
        <v>43</v>
      </c>
      <c r="D88" t="s">
        <v>4924</v>
      </c>
      <c r="E88" t="s">
        <v>67</v>
      </c>
      <c r="F88">
        <v>45</v>
      </c>
      <c r="G88" t="str">
        <f>IFERROR(INDEX(Tabela_Apple!B:B,MATCH(Apple[[#This Row],[Link Externo]],Tabela_Apple!C:C,0),1),"-")</f>
        <v>-</v>
      </c>
      <c r="H88">
        <v>111</v>
      </c>
      <c r="I88" s="3">
        <v>45886</v>
      </c>
    </row>
    <row r="89" spans="1:9" x14ac:dyDescent="0.25">
      <c r="A89">
        <v>88</v>
      </c>
      <c r="B89" t="s">
        <v>4720</v>
      </c>
      <c r="C89" t="s">
        <v>298</v>
      </c>
      <c r="D89" t="s">
        <v>299</v>
      </c>
      <c r="E89" t="s">
        <v>67</v>
      </c>
      <c r="F89">
        <v>33</v>
      </c>
      <c r="G89" t="str">
        <f>IFERROR(INDEX(Tabela_Apple!B:B,MATCH(Apple[[#This Row],[Link Externo]],Tabela_Apple!C:C,0),1),"-")</f>
        <v>-</v>
      </c>
      <c r="H89">
        <v>135</v>
      </c>
      <c r="I89" s="3">
        <v>45483</v>
      </c>
    </row>
    <row r="90" spans="1:9" x14ac:dyDescent="0.25">
      <c r="A90">
        <v>89</v>
      </c>
      <c r="B90" t="s">
        <v>5197</v>
      </c>
      <c r="C90" t="s">
        <v>697</v>
      </c>
      <c r="D90" t="s">
        <v>5198</v>
      </c>
      <c r="E90" t="s">
        <v>2177</v>
      </c>
      <c r="F90">
        <v>1</v>
      </c>
      <c r="G90" t="str">
        <f>IFERROR(INDEX(Tabela_Apple!B:B,MATCH(Apple[[#This Row],[Link Externo]],Tabela_Apple!C:C,0),1),"-")</f>
        <v>-</v>
      </c>
      <c r="H90">
        <v>567</v>
      </c>
      <c r="I90" s="3">
        <v>43504</v>
      </c>
    </row>
    <row r="91" spans="1:9" x14ac:dyDescent="0.25">
      <c r="A91">
        <v>90</v>
      </c>
      <c r="B91" t="s">
        <v>3690</v>
      </c>
      <c r="C91" t="s">
        <v>133</v>
      </c>
      <c r="D91" t="s">
        <v>4319</v>
      </c>
      <c r="E91" t="s">
        <v>77</v>
      </c>
      <c r="F91">
        <v>56</v>
      </c>
      <c r="G91" t="str">
        <f>IFERROR(INDEX(Tabela_Apple!B:B,MATCH(Apple[[#This Row],[Link Externo]],Tabela_Apple!C:C,0),1),"-")</f>
        <v>-</v>
      </c>
      <c r="H91">
        <v>17</v>
      </c>
      <c r="I91" s="3">
        <v>45900</v>
      </c>
    </row>
    <row r="92" spans="1:9" x14ac:dyDescent="0.25">
      <c r="A92">
        <v>91</v>
      </c>
      <c r="B92" t="s">
        <v>5199</v>
      </c>
      <c r="C92" t="s">
        <v>912</v>
      </c>
      <c r="D92" t="s">
        <v>913</v>
      </c>
      <c r="E92" t="s">
        <v>914</v>
      </c>
      <c r="F92">
        <v>2</v>
      </c>
      <c r="G92" t="str">
        <f>IFERROR(INDEX(Tabela_Apple!B:B,MATCH(Apple[[#This Row],[Link Externo]],Tabela_Apple!C:C,0),1),"-")</f>
        <v>-</v>
      </c>
      <c r="H92">
        <v>37</v>
      </c>
      <c r="I92" s="3">
        <v>45873</v>
      </c>
    </row>
    <row r="93" spans="1:9" x14ac:dyDescent="0.25">
      <c r="A93">
        <v>92</v>
      </c>
      <c r="B93" t="s">
        <v>5200</v>
      </c>
      <c r="C93" t="s">
        <v>1377</v>
      </c>
      <c r="D93" t="s">
        <v>5201</v>
      </c>
      <c r="E93" t="s">
        <v>109</v>
      </c>
      <c r="F93">
        <v>6</v>
      </c>
      <c r="G93" t="str">
        <f>IFERROR(INDEX(Tabela_Apple!B:B,MATCH(Apple[[#This Row],[Link Externo]],Tabela_Apple!C:C,0),1),"-")</f>
        <v>-</v>
      </c>
      <c r="H93">
        <v>67</v>
      </c>
      <c r="I93" s="3">
        <v>45810</v>
      </c>
    </row>
    <row r="94" spans="1:9" x14ac:dyDescent="0.25">
      <c r="A94">
        <v>93</v>
      </c>
      <c r="B94" t="s">
        <v>5202</v>
      </c>
      <c r="C94" t="s">
        <v>641</v>
      </c>
      <c r="D94" t="s">
        <v>5203</v>
      </c>
      <c r="E94" t="s">
        <v>232</v>
      </c>
      <c r="F94">
        <v>32</v>
      </c>
      <c r="G94" t="str">
        <f>IFERROR(INDEX(Tabela_Apple!B:B,MATCH(Apple[[#This Row],[Link Externo]],Tabela_Apple!C:C,0),1),"-")</f>
        <v>-</v>
      </c>
      <c r="H94">
        <v>5</v>
      </c>
      <c r="I94" s="3">
        <v>45904</v>
      </c>
    </row>
    <row r="95" spans="1:9" x14ac:dyDescent="0.25">
      <c r="A95">
        <v>94</v>
      </c>
      <c r="B95" t="s">
        <v>4921</v>
      </c>
      <c r="C95" t="s">
        <v>46</v>
      </c>
      <c r="D95" t="s">
        <v>4922</v>
      </c>
      <c r="E95" t="s">
        <v>12</v>
      </c>
      <c r="F95">
        <v>18</v>
      </c>
      <c r="G95" t="str">
        <f>IFERROR(INDEX(Tabela_Apple!B:B,MATCH(Apple[[#This Row],[Link Externo]],Tabela_Apple!C:C,0),1),"-")</f>
        <v>-</v>
      </c>
      <c r="H95">
        <v>319</v>
      </c>
      <c r="I95" s="3">
        <v>44436</v>
      </c>
    </row>
    <row r="96" spans="1:9" x14ac:dyDescent="0.25">
      <c r="A96">
        <v>95</v>
      </c>
      <c r="B96" t="s">
        <v>3657</v>
      </c>
      <c r="C96" t="s">
        <v>33</v>
      </c>
      <c r="D96" t="s">
        <v>474</v>
      </c>
      <c r="E96" t="s">
        <v>12</v>
      </c>
      <c r="F96">
        <v>32</v>
      </c>
      <c r="G96" t="str">
        <f>IFERROR(INDEX(Tabela_Apple!B:B,MATCH(Apple[[#This Row],[Link Externo]],Tabela_Apple!C:C,0),1),"-")</f>
        <v>-</v>
      </c>
      <c r="H96">
        <v>48</v>
      </c>
      <c r="I96" s="3">
        <v>45892</v>
      </c>
    </row>
    <row r="97" spans="1:9" x14ac:dyDescent="0.25">
      <c r="A97">
        <v>96</v>
      </c>
      <c r="B97" t="s">
        <v>5204</v>
      </c>
      <c r="C97" t="s">
        <v>5205</v>
      </c>
      <c r="D97" t="s">
        <v>5206</v>
      </c>
      <c r="E97" t="s">
        <v>1183</v>
      </c>
      <c r="F97">
        <v>1</v>
      </c>
      <c r="G97" t="str">
        <f>IFERROR(INDEX(Tabela_Apple!B:B,MATCH(Apple[[#This Row],[Link Externo]],Tabela_Apple!C:C,0),1),"-")</f>
        <v>-</v>
      </c>
      <c r="H97">
        <v>139</v>
      </c>
      <c r="I97" s="3">
        <v>45596</v>
      </c>
    </row>
    <row r="98" spans="1:9" x14ac:dyDescent="0.25">
      <c r="A98">
        <v>97</v>
      </c>
      <c r="B98" t="s">
        <v>5207</v>
      </c>
      <c r="C98" t="s">
        <v>697</v>
      </c>
      <c r="D98" t="s">
        <v>5208</v>
      </c>
      <c r="E98" t="s">
        <v>2177</v>
      </c>
      <c r="F98">
        <v>60</v>
      </c>
      <c r="G98" t="str">
        <f>IFERROR(INDEX(Tabela_Apple!B:B,MATCH(Apple[[#This Row],[Link Externo]],Tabela_Apple!C:C,0),1),"-")</f>
        <v>-</v>
      </c>
      <c r="H98">
        <v>71</v>
      </c>
      <c r="I98" s="3">
        <v>45868</v>
      </c>
    </row>
    <row r="99" spans="1:9" x14ac:dyDescent="0.25">
      <c r="A99">
        <v>98</v>
      </c>
      <c r="B99" t="s">
        <v>5209</v>
      </c>
      <c r="C99" t="s">
        <v>164</v>
      </c>
      <c r="D99" t="s">
        <v>165</v>
      </c>
      <c r="E99" t="s">
        <v>164</v>
      </c>
      <c r="F99">
        <v>88</v>
      </c>
      <c r="G99" t="str">
        <f>IFERROR(INDEX(Tabela_Apple!B:B,MATCH(Apple[[#This Row],[Link Externo]],Tabela_Apple!C:C,0),1),"-")</f>
        <v>-</v>
      </c>
      <c r="H99">
        <v>8</v>
      </c>
      <c r="I99" s="3">
        <v>45867</v>
      </c>
    </row>
    <row r="100" spans="1:9" x14ac:dyDescent="0.25">
      <c r="A100">
        <v>99</v>
      </c>
      <c r="B100" t="s">
        <v>4920</v>
      </c>
      <c r="C100" t="s">
        <v>43</v>
      </c>
      <c r="D100" t="s">
        <v>3619</v>
      </c>
      <c r="E100" t="s">
        <v>31</v>
      </c>
      <c r="F100">
        <v>16</v>
      </c>
      <c r="G100" t="str">
        <f>IFERROR(INDEX(Tabela_Apple!B:B,MATCH(Apple[[#This Row],[Link Externo]],Tabela_Apple!C:C,0),1),"-")</f>
        <v>-</v>
      </c>
      <c r="H100">
        <v>892</v>
      </c>
      <c r="I100" s="3">
        <v>45012</v>
      </c>
    </row>
    <row r="101" spans="1:9" x14ac:dyDescent="0.25">
      <c r="A101">
        <v>100</v>
      </c>
      <c r="B101" t="s">
        <v>5210</v>
      </c>
      <c r="C101" t="s">
        <v>1563</v>
      </c>
      <c r="D101" t="s">
        <v>1564</v>
      </c>
      <c r="E101" t="s">
        <v>341</v>
      </c>
      <c r="F101">
        <v>1</v>
      </c>
      <c r="G101" t="str">
        <f>IFERROR(INDEX(Tabela_Apple!B:B,MATCH(Apple[[#This Row],[Link Externo]],Tabela_Apple!C:C,0),1),"-")</f>
        <v>-</v>
      </c>
      <c r="H101">
        <v>1173</v>
      </c>
      <c r="I101" s="3">
        <v>44652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6503-FF50-44A4-8A35-9260451DF100}">
  <sheetPr codeName="Planilha18"/>
  <dimension ref="A1:J5"/>
  <sheetViews>
    <sheetView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4.42578125" bestFit="1" customWidth="1"/>
    <col min="3" max="3" width="63.140625" bestFit="1" customWidth="1"/>
    <col min="4" max="4" width="31.85546875" bestFit="1" customWidth="1"/>
    <col min="5" max="5" width="23.7109375" bestFit="1" customWidth="1"/>
    <col min="6" max="6" width="24.5703125" bestFit="1" customWidth="1"/>
    <col min="7" max="7" width="17" bestFit="1" customWidth="1"/>
    <col min="8" max="8" width="15.85546875" bestFit="1" customWidth="1"/>
    <col min="9" max="9" width="16" bestFit="1" customWidth="1"/>
    <col min="10" max="10" width="14.28515625" bestFit="1" customWidth="1"/>
    <col min="11" max="11" width="14.140625" bestFit="1" customWidth="1"/>
  </cols>
  <sheetData>
    <row r="1" spans="1:10" x14ac:dyDescent="0.25">
      <c r="A1" t="s">
        <v>3789</v>
      </c>
      <c r="B1" t="s">
        <v>2877</v>
      </c>
      <c r="C1" t="s">
        <v>2878</v>
      </c>
      <c r="D1" t="s">
        <v>2879</v>
      </c>
      <c r="E1" t="s">
        <v>2880</v>
      </c>
      <c r="F1" t="s">
        <v>2881</v>
      </c>
      <c r="G1" t="s">
        <v>2882</v>
      </c>
      <c r="H1" t="s">
        <v>2737</v>
      </c>
      <c r="I1" t="s">
        <v>2883</v>
      </c>
      <c r="J1" t="s">
        <v>521</v>
      </c>
    </row>
    <row r="2" spans="1:10" x14ac:dyDescent="0.25">
      <c r="A2" s="3">
        <v>45907</v>
      </c>
      <c r="B2">
        <v>4</v>
      </c>
      <c r="C2" s="14" t="s">
        <v>3630</v>
      </c>
      <c r="D2" s="14" t="s">
        <v>1050</v>
      </c>
      <c r="E2" s="14" t="s">
        <v>1051</v>
      </c>
      <c r="F2" s="14" t="s">
        <v>12</v>
      </c>
      <c r="G2">
        <v>3</v>
      </c>
      <c r="H2">
        <v>4</v>
      </c>
      <c r="I2">
        <v>17</v>
      </c>
      <c r="J2" s="3">
        <v>45893</v>
      </c>
    </row>
    <row r="3" spans="1:10" x14ac:dyDescent="0.25">
      <c r="A3" s="3">
        <v>45907</v>
      </c>
      <c r="B3">
        <v>44</v>
      </c>
      <c r="C3" s="14" t="s">
        <v>3644</v>
      </c>
      <c r="D3" s="14" t="s">
        <v>18</v>
      </c>
      <c r="E3" s="14" t="s">
        <v>19</v>
      </c>
      <c r="F3" s="14" t="s">
        <v>20</v>
      </c>
      <c r="G3">
        <v>11</v>
      </c>
      <c r="H3">
        <v>45</v>
      </c>
      <c r="I3">
        <v>70</v>
      </c>
      <c r="J3" s="3">
        <v>45868</v>
      </c>
    </row>
    <row r="4" spans="1:10" x14ac:dyDescent="0.25">
      <c r="A4" s="3">
        <v>45907</v>
      </c>
      <c r="B4">
        <v>66</v>
      </c>
      <c r="C4" s="14" t="s">
        <v>3675</v>
      </c>
      <c r="D4" s="14" t="s">
        <v>476</v>
      </c>
      <c r="E4" s="14" t="s">
        <v>477</v>
      </c>
      <c r="F4" s="14" t="s">
        <v>24</v>
      </c>
      <c r="G4">
        <v>15</v>
      </c>
      <c r="H4">
        <v>66</v>
      </c>
      <c r="I4">
        <v>135</v>
      </c>
      <c r="J4" s="3">
        <v>45844</v>
      </c>
    </row>
    <row r="5" spans="1:10" x14ac:dyDescent="0.25">
      <c r="A5" s="3"/>
      <c r="C5" s="14"/>
      <c r="D5" s="14"/>
      <c r="E5" s="14"/>
      <c r="F5" s="14"/>
      <c r="J5" s="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395-244A-453B-92C2-BA9D1F05562A}">
  <sheetPr codeName="Planilha19"/>
  <dimension ref="A1:J462"/>
  <sheetViews>
    <sheetView showGridLines="0" topLeftCell="E1" zoomScale="90" zoomScaleNormal="90" workbookViewId="0">
      <selection activeCell="F4" sqref="F4"/>
    </sheetView>
  </sheetViews>
  <sheetFormatPr defaultRowHeight="15" x14ac:dyDescent="0.25"/>
  <cols>
    <col min="1" max="1" width="12.140625" bestFit="1" customWidth="1"/>
    <col min="2" max="2" width="72.140625" bestFit="1" customWidth="1"/>
    <col min="3" max="3" width="28.42578125" bestFit="1" customWidth="1"/>
    <col min="4" max="4" width="81.140625" bestFit="1" customWidth="1"/>
    <col min="5" max="5" width="46.42578125" bestFit="1" customWidth="1"/>
    <col min="6" max="6" width="9.42578125" bestFit="1" customWidth="1"/>
    <col min="7" max="7" width="13.5703125" bestFit="1" customWidth="1"/>
    <col min="8" max="8" width="13.7109375" bestFit="1" customWidth="1"/>
    <col min="9" max="9" width="9.140625" style="3" bestFit="1" customWidth="1"/>
    <col min="10" max="10" width="5.28515625" bestFit="1" customWidth="1"/>
    <col min="11" max="11" width="37" bestFit="1" customWidth="1"/>
    <col min="12" max="12" width="17" bestFit="1" customWidth="1"/>
    <col min="13" max="13" width="14.140625" bestFit="1" customWidth="1"/>
    <col min="14" max="14" width="21.85546875" bestFit="1" customWidth="1"/>
    <col min="15" max="15" width="16" bestFit="1" customWidth="1"/>
    <col min="16" max="16" width="15.28515625" bestFit="1" customWidth="1"/>
  </cols>
  <sheetData>
    <row r="1" spans="1:10" x14ac:dyDescent="0.25">
      <c r="A1" t="s">
        <v>2877</v>
      </c>
      <c r="B1" t="s">
        <v>2878</v>
      </c>
      <c r="C1" t="s">
        <v>2987</v>
      </c>
      <c r="D1" t="s">
        <v>2880</v>
      </c>
      <c r="E1" t="s">
        <v>2881</v>
      </c>
      <c r="F1" t="s">
        <v>3622</v>
      </c>
      <c r="G1" t="s">
        <v>2737</v>
      </c>
      <c r="H1" t="s">
        <v>2883</v>
      </c>
      <c r="I1" s="3" t="s">
        <v>1108</v>
      </c>
      <c r="J1" t="s">
        <v>3913</v>
      </c>
    </row>
    <row r="2" spans="1:10" x14ac:dyDescent="0.25">
      <c r="A2">
        <v>1</v>
      </c>
      <c r="B2" t="s">
        <v>2988</v>
      </c>
      <c r="C2" t="s">
        <v>22</v>
      </c>
      <c r="D2" t="s">
        <v>23</v>
      </c>
      <c r="E2" t="s">
        <v>24</v>
      </c>
      <c r="H2">
        <v>205</v>
      </c>
    </row>
    <row r="3" spans="1:10" x14ac:dyDescent="0.25">
      <c r="A3">
        <v>2</v>
      </c>
      <c r="B3" t="s">
        <v>2990</v>
      </c>
      <c r="C3" t="s">
        <v>33</v>
      </c>
      <c r="D3" t="s">
        <v>2740</v>
      </c>
      <c r="E3" t="s">
        <v>2989</v>
      </c>
      <c r="H3">
        <v>128</v>
      </c>
    </row>
    <row r="4" spans="1:10" x14ac:dyDescent="0.25">
      <c r="A4">
        <v>3</v>
      </c>
      <c r="B4" t="s">
        <v>2993</v>
      </c>
      <c r="C4" t="s">
        <v>133</v>
      </c>
      <c r="D4" t="s">
        <v>2992</v>
      </c>
      <c r="E4" t="s">
        <v>77</v>
      </c>
      <c r="H4">
        <v>133</v>
      </c>
    </row>
    <row r="5" spans="1:10" x14ac:dyDescent="0.25">
      <c r="A5">
        <v>4</v>
      </c>
      <c r="B5" t="s">
        <v>2991</v>
      </c>
      <c r="C5" t="s">
        <v>36</v>
      </c>
      <c r="D5" t="s">
        <v>37</v>
      </c>
      <c r="E5" t="s">
        <v>12</v>
      </c>
      <c r="H5">
        <v>393</v>
      </c>
    </row>
    <row r="6" spans="1:10" x14ac:dyDescent="0.25">
      <c r="A6">
        <v>5</v>
      </c>
      <c r="B6" t="s">
        <v>2996</v>
      </c>
      <c r="C6" t="s">
        <v>33</v>
      </c>
      <c r="D6" t="s">
        <v>34</v>
      </c>
      <c r="E6" t="s">
        <v>12</v>
      </c>
      <c r="H6">
        <v>372</v>
      </c>
    </row>
    <row r="7" spans="1:10" x14ac:dyDescent="0.25">
      <c r="A7">
        <v>6</v>
      </c>
      <c r="B7" t="s">
        <v>2998</v>
      </c>
      <c r="C7" t="s">
        <v>28</v>
      </c>
      <c r="D7" t="s">
        <v>27</v>
      </c>
      <c r="E7" t="s">
        <v>2999</v>
      </c>
      <c r="H7">
        <v>99</v>
      </c>
    </row>
    <row r="8" spans="1:10" x14ac:dyDescent="0.25">
      <c r="A8">
        <v>7</v>
      </c>
      <c r="B8" t="s">
        <v>3003</v>
      </c>
      <c r="C8" t="s">
        <v>69</v>
      </c>
      <c r="D8" t="s">
        <v>70</v>
      </c>
      <c r="E8" t="s">
        <v>67</v>
      </c>
      <c r="H8">
        <v>156</v>
      </c>
    </row>
    <row r="9" spans="1:10" x14ac:dyDescent="0.25">
      <c r="A9">
        <v>8</v>
      </c>
      <c r="B9" t="s">
        <v>3001</v>
      </c>
      <c r="C9" t="s">
        <v>415</v>
      </c>
      <c r="D9" t="s">
        <v>50</v>
      </c>
      <c r="E9" t="s">
        <v>24</v>
      </c>
      <c r="H9">
        <v>65</v>
      </c>
    </row>
    <row r="10" spans="1:10" x14ac:dyDescent="0.25">
      <c r="A10">
        <v>9</v>
      </c>
      <c r="B10" t="s">
        <v>3000</v>
      </c>
      <c r="C10" t="s">
        <v>100</v>
      </c>
      <c r="D10" t="s">
        <v>101</v>
      </c>
      <c r="E10" t="s">
        <v>88</v>
      </c>
      <c r="H10">
        <v>205</v>
      </c>
    </row>
    <row r="11" spans="1:10" x14ac:dyDescent="0.25">
      <c r="A11">
        <v>10</v>
      </c>
      <c r="B11" t="s">
        <v>4762</v>
      </c>
      <c r="C11" t="s">
        <v>4763</v>
      </c>
      <c r="D11" t="s">
        <v>4764</v>
      </c>
      <c r="E11" t="s">
        <v>24</v>
      </c>
      <c r="H11">
        <v>2</v>
      </c>
    </row>
    <row r="12" spans="1:10" x14ac:dyDescent="0.25">
      <c r="A12">
        <v>11</v>
      </c>
      <c r="B12" t="s">
        <v>3002</v>
      </c>
      <c r="C12" t="s">
        <v>567</v>
      </c>
      <c r="D12" t="s">
        <v>477</v>
      </c>
      <c r="E12" t="s">
        <v>24</v>
      </c>
      <c r="H12">
        <v>135</v>
      </c>
    </row>
    <row r="13" spans="1:10" x14ac:dyDescent="0.25">
      <c r="A13">
        <v>12</v>
      </c>
      <c r="B13" t="s">
        <v>3014</v>
      </c>
      <c r="C13" t="s">
        <v>33</v>
      </c>
      <c r="D13" t="s">
        <v>1092</v>
      </c>
      <c r="E13" t="s">
        <v>12</v>
      </c>
      <c r="H13">
        <v>1477</v>
      </c>
    </row>
    <row r="14" spans="1:10" x14ac:dyDescent="0.25">
      <c r="A14">
        <v>13</v>
      </c>
      <c r="B14" t="s">
        <v>3012</v>
      </c>
      <c r="C14" t="s">
        <v>599</v>
      </c>
      <c r="D14" t="s">
        <v>3011</v>
      </c>
      <c r="E14" t="s">
        <v>2989</v>
      </c>
      <c r="H14">
        <v>21</v>
      </c>
    </row>
    <row r="15" spans="1:10" x14ac:dyDescent="0.25">
      <c r="A15">
        <v>14</v>
      </c>
      <c r="B15" t="s">
        <v>3013</v>
      </c>
      <c r="C15" t="s">
        <v>69</v>
      </c>
      <c r="D15" t="s">
        <v>119</v>
      </c>
      <c r="E15" t="s">
        <v>67</v>
      </c>
      <c r="H15">
        <v>219</v>
      </c>
    </row>
    <row r="16" spans="1:10" x14ac:dyDescent="0.25">
      <c r="A16">
        <v>15</v>
      </c>
      <c r="B16" t="s">
        <v>3005</v>
      </c>
      <c r="C16" t="s">
        <v>22</v>
      </c>
      <c r="D16" t="s">
        <v>3004</v>
      </c>
      <c r="E16" t="s">
        <v>24</v>
      </c>
      <c r="H16">
        <v>412</v>
      </c>
    </row>
    <row r="17" spans="1:8" x14ac:dyDescent="0.25">
      <c r="A17">
        <v>16</v>
      </c>
      <c r="B17" t="s">
        <v>3019</v>
      </c>
      <c r="C17" t="s">
        <v>93</v>
      </c>
      <c r="D17" t="s">
        <v>2916</v>
      </c>
      <c r="E17" t="s">
        <v>24</v>
      </c>
      <c r="H17">
        <v>212</v>
      </c>
    </row>
    <row r="18" spans="1:8" x14ac:dyDescent="0.25">
      <c r="A18">
        <v>17</v>
      </c>
      <c r="B18" t="s">
        <v>3018</v>
      </c>
      <c r="C18" t="s">
        <v>733</v>
      </c>
      <c r="D18" t="s">
        <v>3017</v>
      </c>
      <c r="E18" t="s">
        <v>24</v>
      </c>
      <c r="H18">
        <v>1376</v>
      </c>
    </row>
    <row r="19" spans="1:8" x14ac:dyDescent="0.25">
      <c r="A19">
        <v>18</v>
      </c>
      <c r="B19" t="s">
        <v>3010</v>
      </c>
      <c r="C19" t="s">
        <v>22</v>
      </c>
      <c r="D19" t="s">
        <v>216</v>
      </c>
      <c r="E19" t="s">
        <v>24</v>
      </c>
      <c r="H19">
        <v>311</v>
      </c>
    </row>
    <row r="20" spans="1:8" x14ac:dyDescent="0.25">
      <c r="A20">
        <v>19</v>
      </c>
      <c r="B20" t="s">
        <v>3041</v>
      </c>
      <c r="C20" t="s">
        <v>170</v>
      </c>
      <c r="D20" t="s">
        <v>171</v>
      </c>
      <c r="E20" t="s">
        <v>170</v>
      </c>
      <c r="H20">
        <v>100</v>
      </c>
    </row>
    <row r="21" spans="1:8" x14ac:dyDescent="0.25">
      <c r="A21">
        <v>20</v>
      </c>
      <c r="B21" t="s">
        <v>3016</v>
      </c>
      <c r="C21" t="s">
        <v>33</v>
      </c>
      <c r="D21" t="s">
        <v>2764</v>
      </c>
      <c r="E21" t="s">
        <v>2989</v>
      </c>
      <c r="H21">
        <v>16</v>
      </c>
    </row>
    <row r="22" spans="1:8" x14ac:dyDescent="0.25">
      <c r="A22">
        <v>21</v>
      </c>
      <c r="B22" t="s">
        <v>3025</v>
      </c>
      <c r="C22" t="s">
        <v>29</v>
      </c>
      <c r="D22" t="s">
        <v>30</v>
      </c>
      <c r="E22" t="s">
        <v>31</v>
      </c>
      <c r="H22">
        <v>47</v>
      </c>
    </row>
    <row r="23" spans="1:8" x14ac:dyDescent="0.25">
      <c r="A23">
        <v>22</v>
      </c>
      <c r="B23" t="s">
        <v>3031</v>
      </c>
      <c r="C23" t="s">
        <v>93</v>
      </c>
      <c r="D23" t="s">
        <v>94</v>
      </c>
      <c r="E23" t="s">
        <v>24</v>
      </c>
      <c r="H23">
        <v>23</v>
      </c>
    </row>
    <row r="24" spans="1:8" x14ac:dyDescent="0.25">
      <c r="A24">
        <v>23</v>
      </c>
      <c r="B24" t="s">
        <v>3020</v>
      </c>
      <c r="C24" t="s">
        <v>2989</v>
      </c>
      <c r="D24" t="s">
        <v>274</v>
      </c>
      <c r="E24" t="s">
        <v>1015</v>
      </c>
      <c r="H24">
        <v>63</v>
      </c>
    </row>
    <row r="25" spans="1:8" x14ac:dyDescent="0.25">
      <c r="A25">
        <v>24</v>
      </c>
      <c r="B25" t="s">
        <v>2995</v>
      </c>
      <c r="C25" t="s">
        <v>616</v>
      </c>
      <c r="D25" t="s">
        <v>2994</v>
      </c>
      <c r="E25" t="s">
        <v>2989</v>
      </c>
      <c r="H25">
        <v>39</v>
      </c>
    </row>
    <row r="26" spans="1:8" x14ac:dyDescent="0.25">
      <c r="A26">
        <v>25</v>
      </c>
      <c r="B26" t="s">
        <v>3015</v>
      </c>
      <c r="C26" t="s">
        <v>298</v>
      </c>
      <c r="D26" t="s">
        <v>66</v>
      </c>
      <c r="E26" t="s">
        <v>67</v>
      </c>
      <c r="H26">
        <v>226</v>
      </c>
    </row>
    <row r="27" spans="1:8" x14ac:dyDescent="0.25">
      <c r="A27">
        <v>26</v>
      </c>
      <c r="B27" t="s">
        <v>3038</v>
      </c>
      <c r="C27" t="s">
        <v>69</v>
      </c>
      <c r="D27" t="s">
        <v>457</v>
      </c>
      <c r="E27" t="s">
        <v>67</v>
      </c>
      <c r="H27">
        <v>21</v>
      </c>
    </row>
    <row r="28" spans="1:8" x14ac:dyDescent="0.25">
      <c r="A28">
        <v>27</v>
      </c>
      <c r="B28" t="s">
        <v>4925</v>
      </c>
      <c r="C28" t="s">
        <v>2718</v>
      </c>
      <c r="D28" t="s">
        <v>4926</v>
      </c>
      <c r="E28" t="s">
        <v>12</v>
      </c>
      <c r="H28">
        <v>1</v>
      </c>
    </row>
    <row r="29" spans="1:8" x14ac:dyDescent="0.25">
      <c r="A29">
        <v>28</v>
      </c>
      <c r="B29" t="s">
        <v>3009</v>
      </c>
      <c r="C29" t="s">
        <v>43</v>
      </c>
      <c r="D29" t="s">
        <v>3008</v>
      </c>
      <c r="E29" t="s">
        <v>31</v>
      </c>
      <c r="H29">
        <v>72</v>
      </c>
    </row>
    <row r="30" spans="1:8" x14ac:dyDescent="0.25">
      <c r="A30">
        <v>29</v>
      </c>
      <c r="B30" t="s">
        <v>2997</v>
      </c>
      <c r="C30" t="s">
        <v>298</v>
      </c>
      <c r="D30" t="s">
        <v>1057</v>
      </c>
      <c r="E30" t="s">
        <v>67</v>
      </c>
      <c r="H30">
        <v>16</v>
      </c>
    </row>
    <row r="31" spans="1:8" x14ac:dyDescent="0.25">
      <c r="A31">
        <v>30</v>
      </c>
      <c r="B31" t="s">
        <v>3024</v>
      </c>
      <c r="C31" t="s">
        <v>3023</v>
      </c>
      <c r="D31" t="s">
        <v>126</v>
      </c>
      <c r="E31" t="s">
        <v>127</v>
      </c>
      <c r="H31">
        <v>118</v>
      </c>
    </row>
    <row r="32" spans="1:8" x14ac:dyDescent="0.25">
      <c r="A32">
        <v>31</v>
      </c>
      <c r="B32" t="s">
        <v>3034</v>
      </c>
      <c r="C32" t="s">
        <v>3033</v>
      </c>
      <c r="D32" t="s">
        <v>3032</v>
      </c>
      <c r="E32" t="s">
        <v>131</v>
      </c>
      <c r="H32">
        <v>361</v>
      </c>
    </row>
    <row r="33" spans="1:8" x14ac:dyDescent="0.25">
      <c r="A33">
        <v>32</v>
      </c>
      <c r="B33" t="s">
        <v>3076</v>
      </c>
      <c r="C33" t="s">
        <v>43</v>
      </c>
      <c r="D33" t="s">
        <v>44</v>
      </c>
      <c r="E33" t="s">
        <v>31</v>
      </c>
      <c r="H33">
        <v>344</v>
      </c>
    </row>
    <row r="34" spans="1:8" x14ac:dyDescent="0.25">
      <c r="A34">
        <v>33</v>
      </c>
      <c r="B34" t="s">
        <v>3051</v>
      </c>
      <c r="C34" t="s">
        <v>578</v>
      </c>
      <c r="D34" t="s">
        <v>3050</v>
      </c>
      <c r="E34" t="s">
        <v>12</v>
      </c>
      <c r="H34">
        <v>634</v>
      </c>
    </row>
    <row r="35" spans="1:8" x14ac:dyDescent="0.25">
      <c r="A35">
        <v>34</v>
      </c>
      <c r="B35" t="s">
        <v>3181</v>
      </c>
      <c r="C35" t="s">
        <v>871</v>
      </c>
      <c r="D35" t="s">
        <v>111</v>
      </c>
      <c r="E35" t="s">
        <v>12</v>
      </c>
      <c r="H35">
        <v>72</v>
      </c>
    </row>
    <row r="36" spans="1:8" x14ac:dyDescent="0.25">
      <c r="A36">
        <v>35</v>
      </c>
      <c r="B36" t="s">
        <v>3021</v>
      </c>
      <c r="C36" t="s">
        <v>33</v>
      </c>
      <c r="D36" t="s">
        <v>2740</v>
      </c>
      <c r="E36" t="s">
        <v>2989</v>
      </c>
      <c r="H36">
        <v>129</v>
      </c>
    </row>
    <row r="37" spans="1:8" x14ac:dyDescent="0.25">
      <c r="A37">
        <v>36</v>
      </c>
      <c r="B37" t="s">
        <v>3030</v>
      </c>
      <c r="C37" t="s">
        <v>22</v>
      </c>
      <c r="D37" t="s">
        <v>296</v>
      </c>
      <c r="E37" t="s">
        <v>24</v>
      </c>
      <c r="H37">
        <v>86</v>
      </c>
    </row>
    <row r="38" spans="1:8" x14ac:dyDescent="0.25">
      <c r="A38">
        <v>37</v>
      </c>
      <c r="B38" t="s">
        <v>3049</v>
      </c>
      <c r="C38" t="s">
        <v>780</v>
      </c>
      <c r="D38" t="s">
        <v>2977</v>
      </c>
      <c r="E38" t="s">
        <v>105</v>
      </c>
      <c r="H38">
        <v>427</v>
      </c>
    </row>
    <row r="39" spans="1:8" x14ac:dyDescent="0.25">
      <c r="A39">
        <v>38</v>
      </c>
      <c r="B39" t="s">
        <v>4758</v>
      </c>
      <c r="C39" t="s">
        <v>419</v>
      </c>
      <c r="D39" t="s">
        <v>4759</v>
      </c>
      <c r="E39" t="s">
        <v>24</v>
      </c>
      <c r="H39">
        <v>2</v>
      </c>
    </row>
    <row r="40" spans="1:8" x14ac:dyDescent="0.25">
      <c r="A40">
        <v>39</v>
      </c>
      <c r="B40" t="s">
        <v>3027</v>
      </c>
      <c r="C40" t="s">
        <v>46</v>
      </c>
      <c r="D40" t="s">
        <v>3026</v>
      </c>
      <c r="E40" t="s">
        <v>12</v>
      </c>
      <c r="H40">
        <v>268</v>
      </c>
    </row>
    <row r="41" spans="1:8" x14ac:dyDescent="0.25">
      <c r="A41">
        <v>41</v>
      </c>
      <c r="B41" t="s">
        <v>3057</v>
      </c>
      <c r="C41" t="s">
        <v>864</v>
      </c>
      <c r="D41" t="s">
        <v>3056</v>
      </c>
      <c r="E41" t="s">
        <v>2420</v>
      </c>
      <c r="H41">
        <v>413</v>
      </c>
    </row>
    <row r="42" spans="1:8" x14ac:dyDescent="0.25">
      <c r="A42">
        <v>42</v>
      </c>
      <c r="B42" t="s">
        <v>3036</v>
      </c>
      <c r="C42" t="s">
        <v>419</v>
      </c>
      <c r="D42" t="s">
        <v>3035</v>
      </c>
      <c r="E42" t="s">
        <v>24</v>
      </c>
      <c r="H42">
        <v>657</v>
      </c>
    </row>
    <row r="43" spans="1:8" x14ac:dyDescent="0.25">
      <c r="A43">
        <v>43</v>
      </c>
      <c r="B43" t="s">
        <v>3062</v>
      </c>
      <c r="C43" t="s">
        <v>3061</v>
      </c>
      <c r="D43" t="s">
        <v>3060</v>
      </c>
      <c r="E43" t="s">
        <v>1079</v>
      </c>
      <c r="H43">
        <v>607</v>
      </c>
    </row>
    <row r="44" spans="1:8" x14ac:dyDescent="0.25">
      <c r="A44">
        <v>44</v>
      </c>
      <c r="B44" t="s">
        <v>3072</v>
      </c>
      <c r="C44" t="s">
        <v>46</v>
      </c>
      <c r="D44" t="s">
        <v>221</v>
      </c>
      <c r="E44" t="s">
        <v>12</v>
      </c>
      <c r="H44">
        <v>23</v>
      </c>
    </row>
    <row r="45" spans="1:8" x14ac:dyDescent="0.25">
      <c r="A45">
        <v>45</v>
      </c>
      <c r="B45" t="s">
        <v>3022</v>
      </c>
      <c r="C45" t="s">
        <v>247</v>
      </c>
      <c r="D45" t="s">
        <v>248</v>
      </c>
      <c r="E45" t="s">
        <v>12</v>
      </c>
      <c r="H45">
        <v>149</v>
      </c>
    </row>
    <row r="46" spans="1:8" x14ac:dyDescent="0.25">
      <c r="A46">
        <v>46</v>
      </c>
      <c r="B46" t="s">
        <v>3043</v>
      </c>
      <c r="C46" t="s">
        <v>552</v>
      </c>
      <c r="D46" t="s">
        <v>3042</v>
      </c>
      <c r="E46" t="s">
        <v>12</v>
      </c>
      <c r="H46">
        <v>1393</v>
      </c>
    </row>
    <row r="47" spans="1:8" x14ac:dyDescent="0.25">
      <c r="A47">
        <v>47</v>
      </c>
      <c r="B47" t="s">
        <v>3054</v>
      </c>
      <c r="C47" t="s">
        <v>107</v>
      </c>
      <c r="D47" t="s">
        <v>108</v>
      </c>
      <c r="E47" t="s">
        <v>109</v>
      </c>
      <c r="H47">
        <v>154</v>
      </c>
    </row>
    <row r="48" spans="1:8" x14ac:dyDescent="0.25">
      <c r="A48">
        <v>49</v>
      </c>
      <c r="B48" t="s">
        <v>4765</v>
      </c>
      <c r="C48" t="s">
        <v>4311</v>
      </c>
      <c r="D48" t="s">
        <v>4927</v>
      </c>
      <c r="E48" t="s">
        <v>12</v>
      </c>
      <c r="H48">
        <v>2</v>
      </c>
    </row>
    <row r="49" spans="1:8" x14ac:dyDescent="0.25">
      <c r="A49">
        <v>50</v>
      </c>
      <c r="B49" t="s">
        <v>3059</v>
      </c>
      <c r="C49" t="s">
        <v>607</v>
      </c>
      <c r="D49" t="s">
        <v>3058</v>
      </c>
      <c r="E49" t="s">
        <v>1379</v>
      </c>
      <c r="H49">
        <v>1245</v>
      </c>
    </row>
    <row r="50" spans="1:8" x14ac:dyDescent="0.25">
      <c r="A50">
        <v>51</v>
      </c>
      <c r="B50" t="s">
        <v>3074</v>
      </c>
      <c r="C50" t="s">
        <v>164</v>
      </c>
      <c r="D50" t="s">
        <v>165</v>
      </c>
      <c r="E50" t="s">
        <v>164</v>
      </c>
      <c r="H50">
        <v>198</v>
      </c>
    </row>
    <row r="51" spans="1:8" x14ac:dyDescent="0.25">
      <c r="A51">
        <v>52</v>
      </c>
      <c r="B51" t="s">
        <v>3029</v>
      </c>
      <c r="C51" t="s">
        <v>607</v>
      </c>
      <c r="D51" t="s">
        <v>3028</v>
      </c>
      <c r="E51" t="s">
        <v>1079</v>
      </c>
      <c r="H51">
        <v>448</v>
      </c>
    </row>
    <row r="52" spans="1:8" x14ac:dyDescent="0.25">
      <c r="A52">
        <v>53</v>
      </c>
      <c r="B52" t="s">
        <v>3007</v>
      </c>
      <c r="C52" t="s">
        <v>458</v>
      </c>
      <c r="D52" t="s">
        <v>3006</v>
      </c>
      <c r="E52" t="s">
        <v>67</v>
      </c>
      <c r="H52">
        <v>37</v>
      </c>
    </row>
    <row r="53" spans="1:8" x14ac:dyDescent="0.25">
      <c r="A53">
        <v>54</v>
      </c>
      <c r="B53" t="s">
        <v>3113</v>
      </c>
      <c r="C53" t="s">
        <v>33</v>
      </c>
      <c r="D53" t="s">
        <v>3112</v>
      </c>
      <c r="E53" t="s">
        <v>12</v>
      </c>
      <c r="H53">
        <v>671</v>
      </c>
    </row>
    <row r="54" spans="1:8" x14ac:dyDescent="0.25">
      <c r="A54">
        <v>55</v>
      </c>
      <c r="B54" t="s">
        <v>3055</v>
      </c>
      <c r="C54" t="s">
        <v>2718</v>
      </c>
      <c r="D54" t="s">
        <v>2970</v>
      </c>
      <c r="E54" t="s">
        <v>12</v>
      </c>
      <c r="H54">
        <v>226</v>
      </c>
    </row>
    <row r="55" spans="1:8" x14ac:dyDescent="0.25">
      <c r="A55">
        <v>56</v>
      </c>
      <c r="B55" t="s">
        <v>3101</v>
      </c>
      <c r="C55" t="s">
        <v>3100</v>
      </c>
      <c r="D55" t="s">
        <v>3099</v>
      </c>
      <c r="E55" t="s">
        <v>3099</v>
      </c>
      <c r="H55">
        <v>388</v>
      </c>
    </row>
    <row r="56" spans="1:8" x14ac:dyDescent="0.25">
      <c r="A56">
        <v>57</v>
      </c>
      <c r="B56" t="s">
        <v>3040</v>
      </c>
      <c r="C56" t="s">
        <v>33</v>
      </c>
      <c r="D56" t="s">
        <v>3039</v>
      </c>
      <c r="E56" t="s">
        <v>12</v>
      </c>
      <c r="H56">
        <v>1294</v>
      </c>
    </row>
    <row r="57" spans="1:8" x14ac:dyDescent="0.25">
      <c r="A57">
        <v>58</v>
      </c>
      <c r="B57" t="s">
        <v>3873</v>
      </c>
      <c r="C57" t="s">
        <v>152</v>
      </c>
      <c r="D57" t="s">
        <v>153</v>
      </c>
      <c r="E57" t="s">
        <v>12</v>
      </c>
      <c r="H57">
        <v>43</v>
      </c>
    </row>
    <row r="58" spans="1:8" x14ac:dyDescent="0.25">
      <c r="A58">
        <v>59</v>
      </c>
      <c r="B58" t="s">
        <v>4928</v>
      </c>
      <c r="C58" t="s">
        <v>4929</v>
      </c>
      <c r="D58" t="s">
        <v>4930</v>
      </c>
      <c r="E58" t="s">
        <v>4929</v>
      </c>
      <c r="H58">
        <v>1</v>
      </c>
    </row>
    <row r="59" spans="1:8" x14ac:dyDescent="0.25">
      <c r="A59">
        <v>60</v>
      </c>
      <c r="B59" t="s">
        <v>3085</v>
      </c>
      <c r="C59" t="s">
        <v>298</v>
      </c>
      <c r="D59" t="s">
        <v>3084</v>
      </c>
      <c r="E59" t="s">
        <v>67</v>
      </c>
      <c r="H59">
        <v>65</v>
      </c>
    </row>
    <row r="60" spans="1:8" x14ac:dyDescent="0.25">
      <c r="A60">
        <v>61</v>
      </c>
      <c r="B60" t="s">
        <v>3139</v>
      </c>
      <c r="C60" t="s">
        <v>69</v>
      </c>
      <c r="D60" t="s">
        <v>3138</v>
      </c>
      <c r="E60" t="s">
        <v>67</v>
      </c>
      <c r="H60">
        <v>396</v>
      </c>
    </row>
    <row r="61" spans="1:8" x14ac:dyDescent="0.25">
      <c r="A61">
        <v>62</v>
      </c>
      <c r="B61" t="s">
        <v>3098</v>
      </c>
      <c r="C61" t="s">
        <v>557</v>
      </c>
      <c r="D61" t="s">
        <v>40</v>
      </c>
      <c r="E61" t="s">
        <v>41</v>
      </c>
      <c r="H61">
        <v>126</v>
      </c>
    </row>
    <row r="62" spans="1:8" x14ac:dyDescent="0.25">
      <c r="A62">
        <v>63</v>
      </c>
      <c r="B62" t="s">
        <v>3080</v>
      </c>
      <c r="C62" t="s">
        <v>567</v>
      </c>
      <c r="D62" t="s">
        <v>3079</v>
      </c>
      <c r="E62" t="s">
        <v>24</v>
      </c>
      <c r="H62">
        <v>1029</v>
      </c>
    </row>
    <row r="63" spans="1:8" x14ac:dyDescent="0.25">
      <c r="A63">
        <v>64</v>
      </c>
      <c r="B63" t="s">
        <v>3064</v>
      </c>
      <c r="C63" t="s">
        <v>69</v>
      </c>
      <c r="D63" t="s">
        <v>494</v>
      </c>
      <c r="E63" t="s">
        <v>67</v>
      </c>
      <c r="H63">
        <v>930</v>
      </c>
    </row>
    <row r="64" spans="1:8" x14ac:dyDescent="0.25">
      <c r="A64">
        <v>65</v>
      </c>
      <c r="B64" t="s">
        <v>3070</v>
      </c>
      <c r="C64" t="s">
        <v>43</v>
      </c>
      <c r="D64" t="s">
        <v>56</v>
      </c>
      <c r="E64" t="s">
        <v>31</v>
      </c>
      <c r="H64">
        <v>177</v>
      </c>
    </row>
    <row r="65" spans="1:8" x14ac:dyDescent="0.25">
      <c r="A65">
        <v>66</v>
      </c>
      <c r="B65" t="s">
        <v>3103</v>
      </c>
      <c r="C65" t="s">
        <v>1087</v>
      </c>
      <c r="D65" t="s">
        <v>3102</v>
      </c>
      <c r="E65" t="s">
        <v>3104</v>
      </c>
      <c r="H65">
        <v>944</v>
      </c>
    </row>
    <row r="66" spans="1:8" x14ac:dyDescent="0.25">
      <c r="A66">
        <v>67</v>
      </c>
      <c r="B66" t="s">
        <v>3153</v>
      </c>
      <c r="C66" t="s">
        <v>507</v>
      </c>
      <c r="D66" t="s">
        <v>508</v>
      </c>
      <c r="E66" t="s">
        <v>509</v>
      </c>
      <c r="H66">
        <v>451</v>
      </c>
    </row>
    <row r="67" spans="1:8" x14ac:dyDescent="0.25">
      <c r="A67">
        <v>68</v>
      </c>
      <c r="B67" t="s">
        <v>4775</v>
      </c>
      <c r="C67" t="s">
        <v>33</v>
      </c>
      <c r="D67" t="s">
        <v>2764</v>
      </c>
      <c r="E67" t="s">
        <v>2989</v>
      </c>
      <c r="H67">
        <v>16</v>
      </c>
    </row>
    <row r="68" spans="1:8" x14ac:dyDescent="0.25">
      <c r="A68">
        <v>69</v>
      </c>
      <c r="B68" t="s">
        <v>3078</v>
      </c>
      <c r="C68" t="s">
        <v>3077</v>
      </c>
      <c r="D68" t="s">
        <v>410</v>
      </c>
      <c r="E68" t="s">
        <v>31</v>
      </c>
      <c r="H68">
        <v>385</v>
      </c>
    </row>
    <row r="69" spans="1:8" x14ac:dyDescent="0.25">
      <c r="A69">
        <v>70</v>
      </c>
      <c r="B69" t="s">
        <v>3097</v>
      </c>
      <c r="C69" t="s">
        <v>170</v>
      </c>
      <c r="D69" t="s">
        <v>3096</v>
      </c>
      <c r="E69" t="s">
        <v>170</v>
      </c>
      <c r="H69">
        <v>77</v>
      </c>
    </row>
    <row r="70" spans="1:8" x14ac:dyDescent="0.25">
      <c r="A70">
        <v>71</v>
      </c>
      <c r="B70" t="s">
        <v>3045</v>
      </c>
      <c r="C70" t="s">
        <v>247</v>
      </c>
      <c r="D70" t="s">
        <v>3044</v>
      </c>
      <c r="E70" t="s">
        <v>12</v>
      </c>
      <c r="H70">
        <v>37</v>
      </c>
    </row>
    <row r="71" spans="1:8" x14ac:dyDescent="0.25">
      <c r="A71">
        <v>72</v>
      </c>
      <c r="B71" t="s">
        <v>3087</v>
      </c>
      <c r="C71" t="s">
        <v>599</v>
      </c>
      <c r="D71" t="s">
        <v>3086</v>
      </c>
      <c r="E71" t="s">
        <v>12</v>
      </c>
      <c r="H71">
        <v>267</v>
      </c>
    </row>
    <row r="72" spans="1:8" x14ac:dyDescent="0.25">
      <c r="A72">
        <v>73</v>
      </c>
      <c r="B72" t="s">
        <v>3083</v>
      </c>
      <c r="C72" t="s">
        <v>607</v>
      </c>
      <c r="D72" t="s">
        <v>3082</v>
      </c>
      <c r="E72" t="s">
        <v>1079</v>
      </c>
      <c r="H72">
        <v>1141</v>
      </c>
    </row>
    <row r="73" spans="1:8" x14ac:dyDescent="0.25">
      <c r="A73">
        <v>74</v>
      </c>
      <c r="B73" t="s">
        <v>3106</v>
      </c>
      <c r="C73" t="s">
        <v>669</v>
      </c>
      <c r="D73" t="s">
        <v>3105</v>
      </c>
      <c r="E73" t="s">
        <v>515</v>
      </c>
      <c r="H73">
        <v>120</v>
      </c>
    </row>
    <row r="74" spans="1:8" x14ac:dyDescent="0.25">
      <c r="A74">
        <v>75</v>
      </c>
      <c r="B74" t="s">
        <v>3117</v>
      </c>
      <c r="C74" t="s">
        <v>100</v>
      </c>
      <c r="D74" t="s">
        <v>3116</v>
      </c>
      <c r="E74" t="s">
        <v>88</v>
      </c>
      <c r="H74">
        <v>273</v>
      </c>
    </row>
    <row r="75" spans="1:8" x14ac:dyDescent="0.25">
      <c r="A75">
        <v>76</v>
      </c>
      <c r="B75" t="s">
        <v>3053</v>
      </c>
      <c r="C75" t="s">
        <v>152</v>
      </c>
      <c r="D75" t="s">
        <v>3052</v>
      </c>
      <c r="E75" t="s">
        <v>12</v>
      </c>
      <c r="H75">
        <v>1333</v>
      </c>
    </row>
    <row r="76" spans="1:8" x14ac:dyDescent="0.25">
      <c r="A76">
        <v>77</v>
      </c>
      <c r="B76" t="s">
        <v>3254</v>
      </c>
      <c r="C76" t="s">
        <v>607</v>
      </c>
      <c r="D76" t="s">
        <v>3253</v>
      </c>
      <c r="E76" t="s">
        <v>3255</v>
      </c>
      <c r="H76">
        <v>575</v>
      </c>
    </row>
    <row r="77" spans="1:8" x14ac:dyDescent="0.25">
      <c r="A77">
        <v>78</v>
      </c>
      <c r="B77" t="s">
        <v>3124</v>
      </c>
      <c r="C77" t="s">
        <v>152</v>
      </c>
      <c r="D77" t="s">
        <v>490</v>
      </c>
      <c r="E77" t="s">
        <v>12</v>
      </c>
      <c r="H77">
        <v>298</v>
      </c>
    </row>
    <row r="78" spans="1:8" x14ac:dyDescent="0.25">
      <c r="A78">
        <v>79</v>
      </c>
      <c r="B78" t="s">
        <v>3133</v>
      </c>
      <c r="C78" t="s">
        <v>133</v>
      </c>
      <c r="D78" t="s">
        <v>134</v>
      </c>
      <c r="E78" t="s">
        <v>77</v>
      </c>
      <c r="H78">
        <v>66</v>
      </c>
    </row>
    <row r="79" spans="1:8" x14ac:dyDescent="0.25">
      <c r="A79">
        <v>80</v>
      </c>
      <c r="B79" t="s">
        <v>3352</v>
      </c>
      <c r="C79" t="s">
        <v>567</v>
      </c>
      <c r="D79" t="s">
        <v>3351</v>
      </c>
      <c r="E79" t="s">
        <v>24</v>
      </c>
      <c r="H79">
        <v>1096</v>
      </c>
    </row>
    <row r="80" spans="1:8" x14ac:dyDescent="0.25">
      <c r="A80">
        <v>81</v>
      </c>
      <c r="B80" t="s">
        <v>3094</v>
      </c>
      <c r="C80" t="s">
        <v>332</v>
      </c>
      <c r="D80" t="s">
        <v>3093</v>
      </c>
      <c r="E80" t="s">
        <v>12</v>
      </c>
      <c r="H80">
        <v>156</v>
      </c>
    </row>
    <row r="81" spans="1:8" x14ac:dyDescent="0.25">
      <c r="A81">
        <v>82</v>
      </c>
      <c r="B81" t="s">
        <v>3065</v>
      </c>
      <c r="C81" t="s">
        <v>693</v>
      </c>
      <c r="D81" t="s">
        <v>63</v>
      </c>
      <c r="E81" t="s">
        <v>24</v>
      </c>
      <c r="H81">
        <v>464</v>
      </c>
    </row>
    <row r="82" spans="1:8" x14ac:dyDescent="0.25">
      <c r="A82">
        <v>83</v>
      </c>
      <c r="B82" t="s">
        <v>4760</v>
      </c>
      <c r="C82" t="s">
        <v>3033</v>
      </c>
      <c r="D82" t="s">
        <v>4761</v>
      </c>
      <c r="E82" t="s">
        <v>131</v>
      </c>
      <c r="H82">
        <v>8</v>
      </c>
    </row>
    <row r="83" spans="1:8" x14ac:dyDescent="0.25">
      <c r="A83">
        <v>84</v>
      </c>
      <c r="B83" t="s">
        <v>3452</v>
      </c>
      <c r="C83" t="s">
        <v>665</v>
      </c>
      <c r="D83" t="s">
        <v>3451</v>
      </c>
      <c r="E83" t="s">
        <v>12</v>
      </c>
      <c r="H83">
        <v>17</v>
      </c>
    </row>
    <row r="84" spans="1:8" x14ac:dyDescent="0.25">
      <c r="A84">
        <v>85</v>
      </c>
      <c r="B84" t="s">
        <v>3063</v>
      </c>
      <c r="C84" t="s">
        <v>29</v>
      </c>
      <c r="D84" t="s">
        <v>308</v>
      </c>
      <c r="E84" t="s">
        <v>31</v>
      </c>
      <c r="H84">
        <v>378</v>
      </c>
    </row>
    <row r="85" spans="1:8" x14ac:dyDescent="0.25">
      <c r="A85">
        <v>87</v>
      </c>
      <c r="B85" t="s">
        <v>3176</v>
      </c>
      <c r="C85" t="s">
        <v>33</v>
      </c>
      <c r="D85" t="s">
        <v>3175</v>
      </c>
      <c r="E85" t="s">
        <v>12</v>
      </c>
      <c r="H85">
        <v>437</v>
      </c>
    </row>
    <row r="86" spans="1:8" x14ac:dyDescent="0.25">
      <c r="A86">
        <v>88</v>
      </c>
      <c r="B86" t="s">
        <v>3161</v>
      </c>
      <c r="C86" t="s">
        <v>3091</v>
      </c>
      <c r="D86" t="s">
        <v>497</v>
      </c>
      <c r="E86" t="s">
        <v>24</v>
      </c>
      <c r="H86">
        <v>402</v>
      </c>
    </row>
    <row r="87" spans="1:8" x14ac:dyDescent="0.25">
      <c r="A87">
        <v>89</v>
      </c>
      <c r="B87" t="s">
        <v>3114</v>
      </c>
      <c r="C87" t="s">
        <v>616</v>
      </c>
      <c r="D87" t="s">
        <v>311</v>
      </c>
      <c r="E87" t="s">
        <v>67</v>
      </c>
      <c r="H87">
        <v>279</v>
      </c>
    </row>
    <row r="88" spans="1:8" x14ac:dyDescent="0.25">
      <c r="A88">
        <v>90</v>
      </c>
      <c r="B88" t="s">
        <v>3071</v>
      </c>
      <c r="C88" t="s">
        <v>46</v>
      </c>
      <c r="D88" t="s">
        <v>47</v>
      </c>
      <c r="E88" t="s">
        <v>12</v>
      </c>
      <c r="H88">
        <v>107</v>
      </c>
    </row>
    <row r="89" spans="1:8" x14ac:dyDescent="0.25">
      <c r="A89">
        <v>91</v>
      </c>
      <c r="B89" t="s">
        <v>3108</v>
      </c>
      <c r="C89" t="s">
        <v>363</v>
      </c>
      <c r="D89" t="s">
        <v>3107</v>
      </c>
      <c r="E89" t="s">
        <v>131</v>
      </c>
      <c r="H89">
        <v>323</v>
      </c>
    </row>
    <row r="90" spans="1:8" x14ac:dyDescent="0.25">
      <c r="A90">
        <v>93</v>
      </c>
      <c r="B90" t="s">
        <v>3142</v>
      </c>
      <c r="C90" t="s">
        <v>368</v>
      </c>
      <c r="D90" t="s">
        <v>369</v>
      </c>
      <c r="E90" t="s">
        <v>370</v>
      </c>
      <c r="H90">
        <v>1472</v>
      </c>
    </row>
    <row r="91" spans="1:8" x14ac:dyDescent="0.25">
      <c r="A91">
        <v>94</v>
      </c>
      <c r="B91" t="s">
        <v>3081</v>
      </c>
      <c r="C91" t="s">
        <v>152</v>
      </c>
      <c r="D91" t="s">
        <v>2956</v>
      </c>
      <c r="E91" t="s">
        <v>12</v>
      </c>
      <c r="H91">
        <v>552</v>
      </c>
    </row>
    <row r="92" spans="1:8" x14ac:dyDescent="0.25">
      <c r="A92">
        <v>96</v>
      </c>
      <c r="B92" t="s">
        <v>3279</v>
      </c>
      <c r="C92" t="s">
        <v>652</v>
      </c>
      <c r="D92" t="s">
        <v>3278</v>
      </c>
      <c r="E92" t="s">
        <v>3280</v>
      </c>
      <c r="H92">
        <v>851</v>
      </c>
    </row>
    <row r="93" spans="1:8" x14ac:dyDescent="0.25">
      <c r="A93">
        <v>97</v>
      </c>
      <c r="B93" t="s">
        <v>3119</v>
      </c>
      <c r="C93" t="s">
        <v>93</v>
      </c>
      <c r="D93" t="s">
        <v>3118</v>
      </c>
      <c r="E93" t="s">
        <v>24</v>
      </c>
      <c r="H93">
        <v>427</v>
      </c>
    </row>
    <row r="94" spans="1:8" x14ac:dyDescent="0.25">
      <c r="A94">
        <v>98</v>
      </c>
      <c r="B94" t="s">
        <v>3158</v>
      </c>
      <c r="C94" t="s">
        <v>3157</v>
      </c>
      <c r="D94" t="s">
        <v>3156</v>
      </c>
      <c r="E94" t="s">
        <v>2709</v>
      </c>
      <c r="H94">
        <v>1453</v>
      </c>
    </row>
    <row r="95" spans="1:8" x14ac:dyDescent="0.25">
      <c r="A95">
        <v>99</v>
      </c>
      <c r="B95" t="s">
        <v>3075</v>
      </c>
      <c r="C95" t="s">
        <v>332</v>
      </c>
      <c r="D95" t="s">
        <v>333</v>
      </c>
      <c r="E95" t="s">
        <v>12</v>
      </c>
      <c r="H95">
        <v>37</v>
      </c>
    </row>
    <row r="96" spans="1:8" x14ac:dyDescent="0.25">
      <c r="A96">
        <v>100</v>
      </c>
      <c r="B96" t="s">
        <v>3132</v>
      </c>
      <c r="C96" t="s">
        <v>3131</v>
      </c>
      <c r="D96" t="s">
        <v>3130</v>
      </c>
      <c r="E96" t="s">
        <v>2989</v>
      </c>
      <c r="H96">
        <v>184</v>
      </c>
    </row>
    <row r="97" spans="1:8" x14ac:dyDescent="0.25">
      <c r="A97">
        <v>101</v>
      </c>
      <c r="B97" t="s">
        <v>3123</v>
      </c>
      <c r="C97" t="s">
        <v>607</v>
      </c>
      <c r="D97" t="s">
        <v>3122</v>
      </c>
      <c r="E97" t="s">
        <v>1079</v>
      </c>
      <c r="H97">
        <v>212</v>
      </c>
    </row>
    <row r="98" spans="1:8" x14ac:dyDescent="0.25">
      <c r="A98">
        <v>102</v>
      </c>
      <c r="B98" t="s">
        <v>3155</v>
      </c>
      <c r="C98" t="s">
        <v>277</v>
      </c>
      <c r="D98" t="s">
        <v>3154</v>
      </c>
      <c r="E98" t="s">
        <v>279</v>
      </c>
      <c r="H98">
        <v>1472</v>
      </c>
    </row>
    <row r="99" spans="1:8" x14ac:dyDescent="0.25">
      <c r="A99">
        <v>103</v>
      </c>
      <c r="B99" t="s">
        <v>3095</v>
      </c>
      <c r="C99" t="s">
        <v>2989</v>
      </c>
      <c r="D99" t="s">
        <v>137</v>
      </c>
      <c r="E99" t="s">
        <v>2989</v>
      </c>
      <c r="H99">
        <v>77</v>
      </c>
    </row>
    <row r="100" spans="1:8" x14ac:dyDescent="0.25">
      <c r="A100">
        <v>104</v>
      </c>
      <c r="B100" t="s">
        <v>3229</v>
      </c>
      <c r="C100" t="s">
        <v>3228</v>
      </c>
      <c r="D100" t="s">
        <v>3227</v>
      </c>
      <c r="E100" t="s">
        <v>3230</v>
      </c>
      <c r="H100">
        <v>288</v>
      </c>
    </row>
    <row r="101" spans="1:8" x14ac:dyDescent="0.25">
      <c r="A101">
        <v>105</v>
      </c>
      <c r="B101" t="s">
        <v>4931</v>
      </c>
      <c r="C101" t="s">
        <v>4932</v>
      </c>
      <c r="D101" t="s">
        <v>4933</v>
      </c>
      <c r="E101" t="s">
        <v>67</v>
      </c>
      <c r="H101">
        <v>1</v>
      </c>
    </row>
    <row r="102" spans="1:8" x14ac:dyDescent="0.25">
      <c r="A102">
        <v>106</v>
      </c>
      <c r="B102" t="s">
        <v>3150</v>
      </c>
      <c r="C102" t="s">
        <v>607</v>
      </c>
      <c r="D102" t="s">
        <v>3149</v>
      </c>
      <c r="E102" t="s">
        <v>3151</v>
      </c>
      <c r="H102">
        <v>281</v>
      </c>
    </row>
    <row r="103" spans="1:8" x14ac:dyDescent="0.25">
      <c r="A103">
        <v>107</v>
      </c>
      <c r="B103" t="s">
        <v>3177</v>
      </c>
      <c r="C103" t="s">
        <v>429</v>
      </c>
      <c r="D103" t="s">
        <v>430</v>
      </c>
      <c r="E103" t="s">
        <v>131</v>
      </c>
      <c r="H103">
        <v>336</v>
      </c>
    </row>
    <row r="104" spans="1:8" x14ac:dyDescent="0.25">
      <c r="A104">
        <v>108</v>
      </c>
      <c r="B104" t="s">
        <v>3252</v>
      </c>
      <c r="C104" t="s">
        <v>93</v>
      </c>
      <c r="D104" t="s">
        <v>3251</v>
      </c>
      <c r="E104" t="s">
        <v>24</v>
      </c>
      <c r="H104">
        <v>163</v>
      </c>
    </row>
    <row r="105" spans="1:8" x14ac:dyDescent="0.25">
      <c r="A105">
        <v>109</v>
      </c>
      <c r="B105" t="s">
        <v>3195</v>
      </c>
      <c r="C105" t="s">
        <v>22</v>
      </c>
      <c r="D105" t="s">
        <v>3194</v>
      </c>
      <c r="E105" t="s">
        <v>24</v>
      </c>
      <c r="H105">
        <v>262</v>
      </c>
    </row>
    <row r="106" spans="1:8" x14ac:dyDescent="0.25">
      <c r="A106">
        <v>110</v>
      </c>
      <c r="B106" t="s">
        <v>3037</v>
      </c>
      <c r="C106" t="s">
        <v>616</v>
      </c>
      <c r="D106" t="s">
        <v>210</v>
      </c>
      <c r="E106" t="s">
        <v>67</v>
      </c>
      <c r="H106">
        <v>93</v>
      </c>
    </row>
    <row r="107" spans="1:8" x14ac:dyDescent="0.25">
      <c r="A107">
        <v>113</v>
      </c>
      <c r="B107" t="s">
        <v>3204</v>
      </c>
      <c r="C107" t="s">
        <v>129</v>
      </c>
      <c r="D107" t="s">
        <v>2414</v>
      </c>
      <c r="E107" t="s">
        <v>131</v>
      </c>
      <c r="H107">
        <v>360</v>
      </c>
    </row>
    <row r="108" spans="1:8" x14ac:dyDescent="0.25">
      <c r="A108">
        <v>115</v>
      </c>
      <c r="B108" t="s">
        <v>4789</v>
      </c>
      <c r="C108" t="s">
        <v>641</v>
      </c>
      <c r="D108" t="s">
        <v>4626</v>
      </c>
      <c r="E108" t="s">
        <v>232</v>
      </c>
      <c r="H108">
        <v>2</v>
      </c>
    </row>
    <row r="109" spans="1:8" x14ac:dyDescent="0.25">
      <c r="A109">
        <v>116</v>
      </c>
      <c r="B109" t="s">
        <v>3174</v>
      </c>
      <c r="C109" t="s">
        <v>3173</v>
      </c>
      <c r="D109" t="s">
        <v>3172</v>
      </c>
      <c r="E109" t="s">
        <v>2999</v>
      </c>
      <c r="H109">
        <v>287</v>
      </c>
    </row>
    <row r="110" spans="1:8" x14ac:dyDescent="0.25">
      <c r="A110">
        <v>117</v>
      </c>
      <c r="B110" t="s">
        <v>3289</v>
      </c>
      <c r="C110" t="s">
        <v>3288</v>
      </c>
      <c r="D110" t="s">
        <v>3287</v>
      </c>
      <c r="E110" t="s">
        <v>12</v>
      </c>
      <c r="H110">
        <v>910</v>
      </c>
    </row>
    <row r="111" spans="1:8" x14ac:dyDescent="0.25">
      <c r="A111">
        <v>118</v>
      </c>
      <c r="B111" t="s">
        <v>3238</v>
      </c>
      <c r="C111" t="s">
        <v>22</v>
      </c>
      <c r="D111" t="s">
        <v>162</v>
      </c>
      <c r="E111" t="s">
        <v>24</v>
      </c>
      <c r="H111">
        <v>304</v>
      </c>
    </row>
    <row r="112" spans="1:8" x14ac:dyDescent="0.25">
      <c r="A112">
        <v>119</v>
      </c>
      <c r="B112" t="s">
        <v>4785</v>
      </c>
      <c r="C112" t="s">
        <v>673</v>
      </c>
      <c r="D112" t="s">
        <v>4786</v>
      </c>
      <c r="E112" t="s">
        <v>2989</v>
      </c>
      <c r="H112">
        <v>10</v>
      </c>
    </row>
    <row r="113" spans="1:8" x14ac:dyDescent="0.25">
      <c r="A113">
        <v>120</v>
      </c>
      <c r="B113" t="s">
        <v>3222</v>
      </c>
      <c r="C113" t="s">
        <v>622</v>
      </c>
      <c r="D113" t="s">
        <v>3221</v>
      </c>
      <c r="E113" t="s">
        <v>341</v>
      </c>
      <c r="H113">
        <v>103</v>
      </c>
    </row>
    <row r="114" spans="1:8" x14ac:dyDescent="0.25">
      <c r="A114">
        <v>121</v>
      </c>
      <c r="B114" t="s">
        <v>3300</v>
      </c>
      <c r="C114" t="s">
        <v>29</v>
      </c>
      <c r="D114" t="s">
        <v>3299</v>
      </c>
      <c r="E114" t="s">
        <v>31</v>
      </c>
      <c r="H114">
        <v>231</v>
      </c>
    </row>
    <row r="115" spans="1:8" x14ac:dyDescent="0.25">
      <c r="A115">
        <v>122</v>
      </c>
      <c r="B115" t="s">
        <v>3152</v>
      </c>
      <c r="C115" t="s">
        <v>381</v>
      </c>
      <c r="D115" t="s">
        <v>382</v>
      </c>
      <c r="E115" t="s">
        <v>268</v>
      </c>
      <c r="H115">
        <v>547</v>
      </c>
    </row>
    <row r="116" spans="1:8" x14ac:dyDescent="0.25">
      <c r="A116">
        <v>123</v>
      </c>
      <c r="B116" t="s">
        <v>3073</v>
      </c>
      <c r="C116" t="s">
        <v>557</v>
      </c>
      <c r="D116" t="s">
        <v>40</v>
      </c>
      <c r="E116" t="s">
        <v>41</v>
      </c>
      <c r="H116">
        <v>51</v>
      </c>
    </row>
    <row r="117" spans="1:8" x14ac:dyDescent="0.25">
      <c r="A117">
        <v>124</v>
      </c>
      <c r="B117" t="s">
        <v>3248</v>
      </c>
      <c r="C117" t="s">
        <v>622</v>
      </c>
      <c r="D117" t="s">
        <v>3247</v>
      </c>
      <c r="E117" t="s">
        <v>341</v>
      </c>
      <c r="H117">
        <v>412</v>
      </c>
    </row>
    <row r="118" spans="1:8" x14ac:dyDescent="0.25">
      <c r="A118">
        <v>126</v>
      </c>
      <c r="B118" t="s">
        <v>3136</v>
      </c>
      <c r="C118" t="s">
        <v>3135</v>
      </c>
      <c r="D118" t="s">
        <v>3134</v>
      </c>
      <c r="E118" t="s">
        <v>3137</v>
      </c>
      <c r="H118">
        <v>663</v>
      </c>
    </row>
    <row r="119" spans="1:8" x14ac:dyDescent="0.25">
      <c r="A119">
        <v>127</v>
      </c>
      <c r="B119" t="s">
        <v>3261</v>
      </c>
      <c r="C119" t="s">
        <v>3033</v>
      </c>
      <c r="D119" t="s">
        <v>3260</v>
      </c>
      <c r="E119" t="s">
        <v>131</v>
      </c>
      <c r="H119">
        <v>306</v>
      </c>
    </row>
    <row r="120" spans="1:8" x14ac:dyDescent="0.25">
      <c r="A120">
        <v>128</v>
      </c>
      <c r="B120" t="s">
        <v>3236</v>
      </c>
      <c r="C120" t="s">
        <v>1087</v>
      </c>
      <c r="D120" t="s">
        <v>3235</v>
      </c>
      <c r="E120" t="s">
        <v>3237</v>
      </c>
      <c r="H120">
        <v>629</v>
      </c>
    </row>
    <row r="121" spans="1:8" x14ac:dyDescent="0.25">
      <c r="A121">
        <v>129</v>
      </c>
      <c r="B121" t="s">
        <v>3115</v>
      </c>
      <c r="C121" t="s">
        <v>415</v>
      </c>
      <c r="D121" t="s">
        <v>2969</v>
      </c>
      <c r="E121" t="s">
        <v>24</v>
      </c>
      <c r="H121">
        <v>324</v>
      </c>
    </row>
    <row r="122" spans="1:8" x14ac:dyDescent="0.25">
      <c r="A122">
        <v>130</v>
      </c>
      <c r="B122" t="s">
        <v>3189</v>
      </c>
      <c r="C122" t="s">
        <v>152</v>
      </c>
      <c r="D122" t="s">
        <v>3188</v>
      </c>
      <c r="E122" t="s">
        <v>12</v>
      </c>
      <c r="H122">
        <v>529</v>
      </c>
    </row>
    <row r="123" spans="1:8" x14ac:dyDescent="0.25">
      <c r="A123">
        <v>131</v>
      </c>
      <c r="B123" t="s">
        <v>3269</v>
      </c>
      <c r="C123" t="s">
        <v>458</v>
      </c>
      <c r="D123" t="s">
        <v>459</v>
      </c>
      <c r="E123" t="s">
        <v>67</v>
      </c>
      <c r="H123">
        <v>166</v>
      </c>
    </row>
    <row r="124" spans="1:8" x14ac:dyDescent="0.25">
      <c r="A124">
        <v>132</v>
      </c>
      <c r="B124" t="s">
        <v>3886</v>
      </c>
      <c r="C124" t="s">
        <v>33</v>
      </c>
      <c r="D124" t="s">
        <v>3887</v>
      </c>
      <c r="E124" t="s">
        <v>2989</v>
      </c>
      <c r="H124">
        <v>127</v>
      </c>
    </row>
    <row r="125" spans="1:8" x14ac:dyDescent="0.25">
      <c r="A125">
        <v>133</v>
      </c>
      <c r="B125" t="s">
        <v>3126</v>
      </c>
      <c r="C125" t="s">
        <v>616</v>
      </c>
      <c r="D125" t="s">
        <v>3125</v>
      </c>
      <c r="E125" t="s">
        <v>67</v>
      </c>
      <c r="H125">
        <v>395</v>
      </c>
    </row>
    <row r="126" spans="1:8" x14ac:dyDescent="0.25">
      <c r="A126">
        <v>134</v>
      </c>
      <c r="B126" t="s">
        <v>3270</v>
      </c>
      <c r="C126" t="s">
        <v>458</v>
      </c>
      <c r="D126" t="s">
        <v>82</v>
      </c>
      <c r="E126" t="s">
        <v>67</v>
      </c>
      <c r="H126">
        <v>240</v>
      </c>
    </row>
    <row r="127" spans="1:8" x14ac:dyDescent="0.25">
      <c r="A127">
        <v>136</v>
      </c>
      <c r="B127" t="s">
        <v>4784</v>
      </c>
      <c r="C127" t="s">
        <v>3091</v>
      </c>
      <c r="D127" t="s">
        <v>4345</v>
      </c>
      <c r="E127" t="s">
        <v>24</v>
      </c>
      <c r="H127">
        <v>9</v>
      </c>
    </row>
    <row r="128" spans="1:8" x14ac:dyDescent="0.25">
      <c r="A128">
        <v>137</v>
      </c>
      <c r="B128" t="s">
        <v>3292</v>
      </c>
      <c r="C128" t="s">
        <v>298</v>
      </c>
      <c r="D128" t="s">
        <v>299</v>
      </c>
      <c r="E128" t="s">
        <v>67</v>
      </c>
      <c r="H128">
        <v>133</v>
      </c>
    </row>
    <row r="129" spans="1:8" x14ac:dyDescent="0.25">
      <c r="A129">
        <v>138</v>
      </c>
      <c r="B129" t="s">
        <v>3354</v>
      </c>
      <c r="C129" t="s">
        <v>43</v>
      </c>
      <c r="D129" t="s">
        <v>3353</v>
      </c>
      <c r="E129" t="s">
        <v>12</v>
      </c>
      <c r="H129">
        <v>270</v>
      </c>
    </row>
    <row r="130" spans="1:8" x14ac:dyDescent="0.25">
      <c r="A130">
        <v>139</v>
      </c>
      <c r="B130" t="s">
        <v>3141</v>
      </c>
      <c r="C130" t="s">
        <v>170</v>
      </c>
      <c r="D130" t="s">
        <v>3140</v>
      </c>
      <c r="E130" t="s">
        <v>170</v>
      </c>
      <c r="H130">
        <v>1120</v>
      </c>
    </row>
    <row r="131" spans="1:8" x14ac:dyDescent="0.25">
      <c r="A131">
        <v>140</v>
      </c>
      <c r="B131" t="s">
        <v>4780</v>
      </c>
      <c r="C131" t="s">
        <v>4781</v>
      </c>
      <c r="D131" t="s">
        <v>4782</v>
      </c>
      <c r="E131" t="s">
        <v>4783</v>
      </c>
      <c r="H131">
        <v>45</v>
      </c>
    </row>
    <row r="132" spans="1:8" x14ac:dyDescent="0.25">
      <c r="A132">
        <v>141</v>
      </c>
      <c r="B132" t="s">
        <v>3120</v>
      </c>
      <c r="C132" t="s">
        <v>673</v>
      </c>
      <c r="D132" t="s">
        <v>2941</v>
      </c>
      <c r="E132" t="s">
        <v>31</v>
      </c>
      <c r="H132">
        <v>503</v>
      </c>
    </row>
    <row r="133" spans="1:8" x14ac:dyDescent="0.25">
      <c r="A133">
        <v>142</v>
      </c>
      <c r="B133" t="s">
        <v>4770</v>
      </c>
      <c r="C133" t="s">
        <v>29</v>
      </c>
      <c r="D133" t="s">
        <v>4771</v>
      </c>
      <c r="E133" t="s">
        <v>31</v>
      </c>
      <c r="H133">
        <v>9</v>
      </c>
    </row>
    <row r="134" spans="1:8" x14ac:dyDescent="0.25">
      <c r="A134">
        <v>143</v>
      </c>
      <c r="B134" t="s">
        <v>3092</v>
      </c>
      <c r="C134" t="s">
        <v>3091</v>
      </c>
      <c r="D134" t="s">
        <v>123</v>
      </c>
      <c r="E134" t="s">
        <v>24</v>
      </c>
      <c r="H134">
        <v>72</v>
      </c>
    </row>
    <row r="135" spans="1:8" x14ac:dyDescent="0.25">
      <c r="A135">
        <v>145</v>
      </c>
      <c r="B135" t="s">
        <v>3896</v>
      </c>
      <c r="C135" t="s">
        <v>552</v>
      </c>
      <c r="D135" t="s">
        <v>3897</v>
      </c>
      <c r="E135" t="s">
        <v>12</v>
      </c>
      <c r="H135">
        <v>351</v>
      </c>
    </row>
    <row r="136" spans="1:8" x14ac:dyDescent="0.25">
      <c r="A136">
        <v>146</v>
      </c>
      <c r="B136" t="s">
        <v>3186</v>
      </c>
      <c r="C136" t="s">
        <v>170</v>
      </c>
      <c r="D136" t="s">
        <v>3185</v>
      </c>
      <c r="E136" t="s">
        <v>3187</v>
      </c>
      <c r="H136">
        <v>780</v>
      </c>
    </row>
    <row r="137" spans="1:8" x14ac:dyDescent="0.25">
      <c r="A137">
        <v>147</v>
      </c>
      <c r="B137" t="s">
        <v>3243</v>
      </c>
      <c r="C137" t="s">
        <v>43</v>
      </c>
      <c r="D137" t="s">
        <v>375</v>
      </c>
      <c r="E137" t="s">
        <v>67</v>
      </c>
      <c r="H137">
        <v>1113</v>
      </c>
    </row>
    <row r="138" spans="1:8" x14ac:dyDescent="0.25">
      <c r="A138">
        <v>149</v>
      </c>
      <c r="B138" t="s">
        <v>3267</v>
      </c>
      <c r="C138" t="s">
        <v>93</v>
      </c>
      <c r="D138" t="s">
        <v>3266</v>
      </c>
      <c r="E138" t="s">
        <v>24</v>
      </c>
      <c r="H138">
        <v>546</v>
      </c>
    </row>
    <row r="139" spans="1:8" x14ac:dyDescent="0.25">
      <c r="A139">
        <v>150</v>
      </c>
      <c r="B139" t="s">
        <v>3239</v>
      </c>
      <c r="C139" t="s">
        <v>578</v>
      </c>
      <c r="D139" t="s">
        <v>2981</v>
      </c>
      <c r="E139" t="s">
        <v>12</v>
      </c>
      <c r="H139">
        <v>260</v>
      </c>
    </row>
    <row r="140" spans="1:8" x14ac:dyDescent="0.25">
      <c r="A140">
        <v>151</v>
      </c>
      <c r="B140" t="s">
        <v>3224</v>
      </c>
      <c r="C140" t="s">
        <v>763</v>
      </c>
      <c r="D140" t="s">
        <v>3223</v>
      </c>
      <c r="E140" t="s">
        <v>131</v>
      </c>
      <c r="H140">
        <v>359</v>
      </c>
    </row>
    <row r="141" spans="1:8" x14ac:dyDescent="0.25">
      <c r="A141">
        <v>152</v>
      </c>
      <c r="B141" t="s">
        <v>3410</v>
      </c>
      <c r="C141" t="s">
        <v>3409</v>
      </c>
      <c r="D141" t="s">
        <v>3408</v>
      </c>
      <c r="E141" t="s">
        <v>3411</v>
      </c>
      <c r="H141">
        <v>445</v>
      </c>
    </row>
    <row r="142" spans="1:8" x14ac:dyDescent="0.25">
      <c r="A142">
        <v>153</v>
      </c>
      <c r="B142" t="s">
        <v>4768</v>
      </c>
      <c r="C142" t="s">
        <v>3245</v>
      </c>
      <c r="D142" t="s">
        <v>4769</v>
      </c>
      <c r="E142" t="s">
        <v>3069</v>
      </c>
      <c r="H142">
        <v>8</v>
      </c>
    </row>
    <row r="143" spans="1:8" x14ac:dyDescent="0.25">
      <c r="A143">
        <v>154</v>
      </c>
      <c r="B143" t="s">
        <v>3263</v>
      </c>
      <c r="C143" t="s">
        <v>2422</v>
      </c>
      <c r="D143" t="s">
        <v>3262</v>
      </c>
      <c r="E143" t="s">
        <v>2712</v>
      </c>
      <c r="H143">
        <v>426</v>
      </c>
    </row>
    <row r="144" spans="1:8" x14ac:dyDescent="0.25">
      <c r="A144">
        <v>155</v>
      </c>
      <c r="B144" t="s">
        <v>3404</v>
      </c>
      <c r="C144" t="s">
        <v>567</v>
      </c>
      <c r="D144" t="s">
        <v>3403</v>
      </c>
      <c r="E144" t="s">
        <v>24</v>
      </c>
      <c r="H144">
        <v>203</v>
      </c>
    </row>
    <row r="145" spans="1:8" x14ac:dyDescent="0.25">
      <c r="A145">
        <v>156</v>
      </c>
      <c r="B145" t="s">
        <v>3465</v>
      </c>
      <c r="C145" t="s">
        <v>3464</v>
      </c>
      <c r="D145" t="s">
        <v>3463</v>
      </c>
      <c r="E145" t="s">
        <v>3375</v>
      </c>
      <c r="H145">
        <v>449</v>
      </c>
    </row>
    <row r="146" spans="1:8" x14ac:dyDescent="0.25">
      <c r="A146">
        <v>157</v>
      </c>
      <c r="B146" t="s">
        <v>3369</v>
      </c>
      <c r="C146" t="s">
        <v>415</v>
      </c>
      <c r="D146" t="s">
        <v>3368</v>
      </c>
      <c r="E146" t="s">
        <v>24</v>
      </c>
      <c r="H146">
        <v>323</v>
      </c>
    </row>
    <row r="147" spans="1:8" x14ac:dyDescent="0.25">
      <c r="A147">
        <v>158</v>
      </c>
      <c r="B147" t="s">
        <v>3891</v>
      </c>
      <c r="C147" t="s">
        <v>170</v>
      </c>
      <c r="D147" t="s">
        <v>3892</v>
      </c>
      <c r="E147" t="s">
        <v>3333</v>
      </c>
      <c r="H147">
        <v>283</v>
      </c>
    </row>
    <row r="148" spans="1:8" x14ac:dyDescent="0.25">
      <c r="A148">
        <v>159</v>
      </c>
      <c r="B148" t="s">
        <v>3184</v>
      </c>
      <c r="C148" t="s">
        <v>3183</v>
      </c>
      <c r="D148" t="s">
        <v>3182</v>
      </c>
      <c r="E148" t="s">
        <v>12</v>
      </c>
      <c r="H148">
        <v>447</v>
      </c>
    </row>
    <row r="149" spans="1:8" x14ac:dyDescent="0.25">
      <c r="A149">
        <v>160</v>
      </c>
      <c r="B149" t="s">
        <v>4766</v>
      </c>
      <c r="C149" t="s">
        <v>3775</v>
      </c>
      <c r="D149" t="s">
        <v>4767</v>
      </c>
      <c r="E149" t="s">
        <v>3137</v>
      </c>
      <c r="H149">
        <v>9</v>
      </c>
    </row>
    <row r="150" spans="1:8" x14ac:dyDescent="0.25">
      <c r="A150">
        <v>161</v>
      </c>
      <c r="B150" t="s">
        <v>3178</v>
      </c>
      <c r="C150" t="s">
        <v>782</v>
      </c>
      <c r="D150" t="s">
        <v>1101</v>
      </c>
      <c r="E150" t="s">
        <v>12</v>
      </c>
      <c r="H150">
        <v>444</v>
      </c>
    </row>
    <row r="151" spans="1:8" x14ac:dyDescent="0.25">
      <c r="A151">
        <v>162</v>
      </c>
      <c r="B151" t="s">
        <v>3110</v>
      </c>
      <c r="C151" t="s">
        <v>2723</v>
      </c>
      <c r="D151" t="s">
        <v>3109</v>
      </c>
      <c r="E151" t="s">
        <v>3111</v>
      </c>
      <c r="H151">
        <v>279</v>
      </c>
    </row>
    <row r="152" spans="1:8" x14ac:dyDescent="0.25">
      <c r="A152">
        <v>163</v>
      </c>
      <c r="B152" t="s">
        <v>3431</v>
      </c>
      <c r="C152" t="s">
        <v>3430</v>
      </c>
      <c r="D152" t="s">
        <v>3429</v>
      </c>
      <c r="E152" t="s">
        <v>24</v>
      </c>
      <c r="H152">
        <v>444</v>
      </c>
    </row>
    <row r="153" spans="1:8" x14ac:dyDescent="0.25">
      <c r="A153">
        <v>164</v>
      </c>
      <c r="B153" t="s">
        <v>3501</v>
      </c>
      <c r="C153" t="s">
        <v>3335</v>
      </c>
      <c r="D153" t="s">
        <v>3500</v>
      </c>
      <c r="E153" t="s">
        <v>370</v>
      </c>
      <c r="H153">
        <v>457</v>
      </c>
    </row>
    <row r="154" spans="1:8" x14ac:dyDescent="0.25">
      <c r="A154">
        <v>165</v>
      </c>
      <c r="B154" t="s">
        <v>3212</v>
      </c>
      <c r="C154" t="s">
        <v>2116</v>
      </c>
      <c r="D154" t="s">
        <v>1136</v>
      </c>
      <c r="E154" t="s">
        <v>109</v>
      </c>
      <c r="H154">
        <v>324</v>
      </c>
    </row>
    <row r="155" spans="1:8" x14ac:dyDescent="0.25">
      <c r="A155">
        <v>166</v>
      </c>
      <c r="B155" t="s">
        <v>3275</v>
      </c>
      <c r="C155" t="s">
        <v>3274</v>
      </c>
      <c r="D155" t="s">
        <v>3273</v>
      </c>
      <c r="E155" t="s">
        <v>3274</v>
      </c>
      <c r="H155">
        <v>669</v>
      </c>
    </row>
    <row r="156" spans="1:8" x14ac:dyDescent="0.25">
      <c r="A156">
        <v>167</v>
      </c>
      <c r="B156" t="s">
        <v>3293</v>
      </c>
      <c r="C156" t="s">
        <v>159</v>
      </c>
      <c r="D156" t="s">
        <v>160</v>
      </c>
      <c r="E156" t="s">
        <v>2911</v>
      </c>
      <c r="H156">
        <v>263</v>
      </c>
    </row>
    <row r="157" spans="1:8" x14ac:dyDescent="0.25">
      <c r="A157">
        <v>169</v>
      </c>
      <c r="B157" t="s">
        <v>3128</v>
      </c>
      <c r="C157" t="s">
        <v>833</v>
      </c>
      <c r="D157" t="s">
        <v>3127</v>
      </c>
      <c r="E157" t="s">
        <v>3129</v>
      </c>
      <c r="H157">
        <v>331</v>
      </c>
    </row>
    <row r="158" spans="1:8" x14ac:dyDescent="0.25">
      <c r="A158">
        <v>170</v>
      </c>
      <c r="B158" t="s">
        <v>3168</v>
      </c>
      <c r="C158" t="s">
        <v>133</v>
      </c>
      <c r="D158" t="s">
        <v>3167</v>
      </c>
      <c r="E158" t="s">
        <v>3169</v>
      </c>
      <c r="H158">
        <v>119</v>
      </c>
    </row>
    <row r="159" spans="1:8" x14ac:dyDescent="0.25">
      <c r="A159">
        <v>171</v>
      </c>
      <c r="B159" t="s">
        <v>3879</v>
      </c>
      <c r="C159" t="s">
        <v>578</v>
      </c>
      <c r="D159" t="s">
        <v>3880</v>
      </c>
      <c r="E159" t="s">
        <v>12</v>
      </c>
      <c r="H159">
        <v>507</v>
      </c>
    </row>
    <row r="160" spans="1:8" x14ac:dyDescent="0.25">
      <c r="A160">
        <v>172</v>
      </c>
      <c r="B160" t="s">
        <v>3180</v>
      </c>
      <c r="C160" t="s">
        <v>363</v>
      </c>
      <c r="D160" t="s">
        <v>3179</v>
      </c>
      <c r="E160" t="s">
        <v>131</v>
      </c>
      <c r="H160">
        <v>359</v>
      </c>
    </row>
    <row r="161" spans="1:8" x14ac:dyDescent="0.25">
      <c r="A161">
        <v>173</v>
      </c>
      <c r="B161" t="s">
        <v>3541</v>
      </c>
      <c r="C161" t="s">
        <v>567</v>
      </c>
      <c r="D161" t="s">
        <v>3540</v>
      </c>
      <c r="E161" t="s">
        <v>24</v>
      </c>
      <c r="H161">
        <v>126</v>
      </c>
    </row>
    <row r="162" spans="1:8" x14ac:dyDescent="0.25">
      <c r="A162">
        <v>174</v>
      </c>
      <c r="B162" t="s">
        <v>3214</v>
      </c>
      <c r="C162" t="s">
        <v>552</v>
      </c>
      <c r="D162" t="s">
        <v>3213</v>
      </c>
      <c r="E162" t="s">
        <v>12</v>
      </c>
      <c r="H162">
        <v>521</v>
      </c>
    </row>
    <row r="163" spans="1:8" x14ac:dyDescent="0.25">
      <c r="A163">
        <v>176</v>
      </c>
      <c r="B163" t="s">
        <v>3327</v>
      </c>
      <c r="C163" t="s">
        <v>597</v>
      </c>
      <c r="D163" t="s">
        <v>3326</v>
      </c>
      <c r="E163" t="s">
        <v>12</v>
      </c>
      <c r="H163">
        <v>449</v>
      </c>
    </row>
    <row r="164" spans="1:8" x14ac:dyDescent="0.25">
      <c r="A164">
        <v>177</v>
      </c>
      <c r="B164" t="s">
        <v>3302</v>
      </c>
      <c r="C164" t="s">
        <v>641</v>
      </c>
      <c r="D164" t="s">
        <v>231</v>
      </c>
      <c r="E164" t="s">
        <v>1311</v>
      </c>
      <c r="H164">
        <v>210</v>
      </c>
    </row>
    <row r="165" spans="1:8" x14ac:dyDescent="0.25">
      <c r="A165">
        <v>178</v>
      </c>
      <c r="B165" t="s">
        <v>3265</v>
      </c>
      <c r="C165" t="s">
        <v>133</v>
      </c>
      <c r="D165" t="s">
        <v>76</v>
      </c>
      <c r="E165" t="s">
        <v>77</v>
      </c>
      <c r="H165">
        <v>135</v>
      </c>
    </row>
    <row r="166" spans="1:8" x14ac:dyDescent="0.25">
      <c r="A166">
        <v>179</v>
      </c>
      <c r="B166" t="s">
        <v>3258</v>
      </c>
      <c r="C166" t="s">
        <v>3257</v>
      </c>
      <c r="D166" t="s">
        <v>3256</v>
      </c>
      <c r="E166" t="s">
        <v>3259</v>
      </c>
      <c r="H166">
        <v>436</v>
      </c>
    </row>
    <row r="167" spans="1:8" x14ac:dyDescent="0.25">
      <c r="A167">
        <v>180</v>
      </c>
      <c r="B167" t="s">
        <v>3166</v>
      </c>
      <c r="C167" t="s">
        <v>3165</v>
      </c>
      <c r="D167" t="s">
        <v>3164</v>
      </c>
      <c r="E167" t="s">
        <v>24</v>
      </c>
      <c r="H167">
        <v>1197</v>
      </c>
    </row>
    <row r="168" spans="1:8" x14ac:dyDescent="0.25">
      <c r="A168">
        <v>181</v>
      </c>
      <c r="B168" t="s">
        <v>3242</v>
      </c>
      <c r="C168" t="s">
        <v>3241</v>
      </c>
      <c r="D168" t="s">
        <v>3240</v>
      </c>
      <c r="E168" t="s">
        <v>716</v>
      </c>
      <c r="H168">
        <v>706</v>
      </c>
    </row>
    <row r="169" spans="1:8" x14ac:dyDescent="0.25">
      <c r="A169">
        <v>182</v>
      </c>
      <c r="B169" t="s">
        <v>3306</v>
      </c>
      <c r="C169" t="s">
        <v>298</v>
      </c>
      <c r="D169" t="s">
        <v>2982</v>
      </c>
      <c r="E169" t="s">
        <v>67</v>
      </c>
      <c r="H169">
        <v>177</v>
      </c>
    </row>
    <row r="170" spans="1:8" x14ac:dyDescent="0.25">
      <c r="A170">
        <v>183</v>
      </c>
      <c r="B170" t="s">
        <v>3400</v>
      </c>
      <c r="C170" t="s">
        <v>298</v>
      </c>
      <c r="D170" t="s">
        <v>299</v>
      </c>
      <c r="E170" t="s">
        <v>67</v>
      </c>
      <c r="H170">
        <v>330</v>
      </c>
    </row>
    <row r="171" spans="1:8" x14ac:dyDescent="0.25">
      <c r="A171">
        <v>185</v>
      </c>
      <c r="B171" t="s">
        <v>4788</v>
      </c>
      <c r="C171" t="s">
        <v>29</v>
      </c>
      <c r="D171" t="s">
        <v>308</v>
      </c>
      <c r="E171" t="s">
        <v>31</v>
      </c>
      <c r="H171">
        <v>492</v>
      </c>
    </row>
    <row r="172" spans="1:8" x14ac:dyDescent="0.25">
      <c r="A172">
        <v>186</v>
      </c>
      <c r="B172" t="s">
        <v>3160</v>
      </c>
      <c r="C172" t="s">
        <v>415</v>
      </c>
      <c r="D172" t="s">
        <v>3159</v>
      </c>
      <c r="E172" t="s">
        <v>24</v>
      </c>
      <c r="H172">
        <v>23</v>
      </c>
    </row>
    <row r="173" spans="1:8" x14ac:dyDescent="0.25">
      <c r="A173">
        <v>187</v>
      </c>
      <c r="B173" t="s">
        <v>3206</v>
      </c>
      <c r="C173" t="s">
        <v>607</v>
      </c>
      <c r="D173" t="s">
        <v>3205</v>
      </c>
      <c r="E173" t="s">
        <v>1079</v>
      </c>
      <c r="H173">
        <v>93</v>
      </c>
    </row>
    <row r="174" spans="1:8" x14ac:dyDescent="0.25">
      <c r="A174">
        <v>188</v>
      </c>
      <c r="B174" t="s">
        <v>3226</v>
      </c>
      <c r="C174" t="s">
        <v>552</v>
      </c>
      <c r="D174" t="s">
        <v>3225</v>
      </c>
      <c r="E174" t="s">
        <v>12</v>
      </c>
      <c r="H174">
        <v>1464</v>
      </c>
    </row>
    <row r="175" spans="1:8" x14ac:dyDescent="0.25">
      <c r="A175">
        <v>189</v>
      </c>
      <c r="B175" t="s">
        <v>3301</v>
      </c>
      <c r="C175" t="s">
        <v>571</v>
      </c>
      <c r="D175" t="s">
        <v>1100</v>
      </c>
      <c r="E175" t="s">
        <v>644</v>
      </c>
      <c r="H175">
        <v>91</v>
      </c>
    </row>
    <row r="176" spans="1:8" x14ac:dyDescent="0.25">
      <c r="A176">
        <v>190</v>
      </c>
      <c r="B176" t="s">
        <v>4934</v>
      </c>
      <c r="C176" t="s">
        <v>3165</v>
      </c>
      <c r="D176" t="s">
        <v>4935</v>
      </c>
      <c r="E176" t="s">
        <v>3137</v>
      </c>
      <c r="H176">
        <v>1</v>
      </c>
    </row>
    <row r="177" spans="1:8" x14ac:dyDescent="0.25">
      <c r="A177">
        <v>191</v>
      </c>
      <c r="B177" t="s">
        <v>3272</v>
      </c>
      <c r="C177" t="s">
        <v>2587</v>
      </c>
      <c r="D177" t="s">
        <v>3271</v>
      </c>
      <c r="E177" t="s">
        <v>2588</v>
      </c>
      <c r="H177">
        <v>1341</v>
      </c>
    </row>
    <row r="178" spans="1:8" x14ac:dyDescent="0.25">
      <c r="A178">
        <v>192</v>
      </c>
      <c r="B178" t="s">
        <v>3233</v>
      </c>
      <c r="C178" t="s">
        <v>3232</v>
      </c>
      <c r="D178" t="s">
        <v>3231</v>
      </c>
      <c r="E178" t="s">
        <v>3234</v>
      </c>
      <c r="H178">
        <v>669</v>
      </c>
    </row>
    <row r="179" spans="1:8" x14ac:dyDescent="0.25">
      <c r="A179">
        <v>193</v>
      </c>
      <c r="B179" t="s">
        <v>3367</v>
      </c>
      <c r="C179" t="s">
        <v>763</v>
      </c>
      <c r="D179" t="s">
        <v>3366</v>
      </c>
      <c r="E179" t="s">
        <v>131</v>
      </c>
      <c r="H179">
        <v>215</v>
      </c>
    </row>
    <row r="180" spans="1:8" x14ac:dyDescent="0.25">
      <c r="A180">
        <v>194</v>
      </c>
      <c r="B180" t="s">
        <v>4772</v>
      </c>
      <c r="C180" t="s">
        <v>3774</v>
      </c>
      <c r="D180" t="s">
        <v>4773</v>
      </c>
      <c r="E180" t="s">
        <v>4774</v>
      </c>
      <c r="H180">
        <v>9</v>
      </c>
    </row>
    <row r="181" spans="1:8" x14ac:dyDescent="0.25">
      <c r="A181">
        <v>195</v>
      </c>
      <c r="B181" t="s">
        <v>3203</v>
      </c>
      <c r="C181" t="s">
        <v>419</v>
      </c>
      <c r="D181" t="s">
        <v>3202</v>
      </c>
      <c r="E181" t="s">
        <v>24</v>
      </c>
      <c r="H181">
        <v>447</v>
      </c>
    </row>
    <row r="182" spans="1:8" x14ac:dyDescent="0.25">
      <c r="A182">
        <v>196</v>
      </c>
      <c r="B182" t="s">
        <v>3294</v>
      </c>
      <c r="C182" t="s">
        <v>93</v>
      </c>
      <c r="D182" t="s">
        <v>2983</v>
      </c>
      <c r="E182" t="s">
        <v>24</v>
      </c>
      <c r="H182">
        <v>318</v>
      </c>
    </row>
    <row r="183" spans="1:8" x14ac:dyDescent="0.25">
      <c r="A183">
        <v>197</v>
      </c>
      <c r="B183" t="s">
        <v>3193</v>
      </c>
      <c r="C183" t="s">
        <v>3192</v>
      </c>
      <c r="D183" t="s">
        <v>3191</v>
      </c>
      <c r="E183" t="s">
        <v>24</v>
      </c>
      <c r="H183">
        <v>863</v>
      </c>
    </row>
    <row r="184" spans="1:8" x14ac:dyDescent="0.25">
      <c r="A184">
        <v>198</v>
      </c>
      <c r="B184" t="s">
        <v>3250</v>
      </c>
      <c r="C184" t="s">
        <v>864</v>
      </c>
      <c r="D184" t="s">
        <v>3249</v>
      </c>
      <c r="E184" t="s">
        <v>2420</v>
      </c>
      <c r="H184">
        <v>523</v>
      </c>
    </row>
    <row r="185" spans="1:8" x14ac:dyDescent="0.25">
      <c r="A185">
        <v>200</v>
      </c>
      <c r="B185" t="s">
        <v>3402</v>
      </c>
      <c r="C185" t="s">
        <v>93</v>
      </c>
      <c r="D185" t="s">
        <v>3401</v>
      </c>
      <c r="E185" t="s">
        <v>24</v>
      </c>
      <c r="H185">
        <v>717</v>
      </c>
    </row>
    <row r="186" spans="1:8" x14ac:dyDescent="0.25">
      <c r="A186">
        <v>201</v>
      </c>
      <c r="B186" t="s">
        <v>3291</v>
      </c>
      <c r="C186" t="s">
        <v>277</v>
      </c>
      <c r="D186" t="s">
        <v>3290</v>
      </c>
      <c r="E186" t="s">
        <v>1103</v>
      </c>
      <c r="H186">
        <v>674</v>
      </c>
    </row>
    <row r="187" spans="1:8" x14ac:dyDescent="0.25">
      <c r="A187">
        <v>202</v>
      </c>
      <c r="B187" t="s">
        <v>3208</v>
      </c>
      <c r="C187" t="s">
        <v>3165</v>
      </c>
      <c r="D187" t="s">
        <v>3207</v>
      </c>
      <c r="E187" t="s">
        <v>24</v>
      </c>
      <c r="H187">
        <v>586</v>
      </c>
    </row>
    <row r="188" spans="1:8" x14ac:dyDescent="0.25">
      <c r="A188">
        <v>204</v>
      </c>
      <c r="B188" t="s">
        <v>3218</v>
      </c>
      <c r="C188" t="s">
        <v>652</v>
      </c>
      <c r="D188" t="s">
        <v>3217</v>
      </c>
      <c r="E188" t="s">
        <v>3219</v>
      </c>
      <c r="H188">
        <v>1425</v>
      </c>
    </row>
    <row r="189" spans="1:8" x14ac:dyDescent="0.25">
      <c r="A189">
        <v>205</v>
      </c>
      <c r="B189" t="s">
        <v>3356</v>
      </c>
      <c r="C189" t="s">
        <v>652</v>
      </c>
      <c r="D189" t="s">
        <v>3355</v>
      </c>
      <c r="E189" t="s">
        <v>3219</v>
      </c>
      <c r="H189">
        <v>399</v>
      </c>
    </row>
    <row r="190" spans="1:8" x14ac:dyDescent="0.25">
      <c r="A190">
        <v>206</v>
      </c>
      <c r="B190" t="s">
        <v>3308</v>
      </c>
      <c r="C190" t="s">
        <v>921</v>
      </c>
      <c r="D190" t="s">
        <v>3307</v>
      </c>
      <c r="E190" t="s">
        <v>3137</v>
      </c>
      <c r="H190">
        <v>835</v>
      </c>
    </row>
    <row r="191" spans="1:8" x14ac:dyDescent="0.25">
      <c r="A191">
        <v>207</v>
      </c>
      <c r="B191" t="s">
        <v>3277</v>
      </c>
      <c r="C191" t="s">
        <v>458</v>
      </c>
      <c r="D191" t="s">
        <v>3276</v>
      </c>
      <c r="E191" t="s">
        <v>67</v>
      </c>
      <c r="H191">
        <v>480</v>
      </c>
    </row>
    <row r="192" spans="1:8" x14ac:dyDescent="0.25">
      <c r="A192">
        <v>208</v>
      </c>
      <c r="B192" t="s">
        <v>3875</v>
      </c>
      <c r="C192" t="s">
        <v>43</v>
      </c>
      <c r="D192" t="s">
        <v>3876</v>
      </c>
      <c r="E192" t="s">
        <v>12</v>
      </c>
      <c r="H192">
        <v>319</v>
      </c>
    </row>
    <row r="193" spans="1:8" x14ac:dyDescent="0.25">
      <c r="A193">
        <v>209</v>
      </c>
      <c r="B193" t="s">
        <v>3374</v>
      </c>
      <c r="C193" t="s">
        <v>3373</v>
      </c>
      <c r="D193" t="s">
        <v>3372</v>
      </c>
      <c r="E193" t="s">
        <v>3375</v>
      </c>
      <c r="H193">
        <v>293</v>
      </c>
    </row>
    <row r="194" spans="1:8" x14ac:dyDescent="0.25">
      <c r="A194">
        <v>212</v>
      </c>
      <c r="B194" t="s">
        <v>3264</v>
      </c>
      <c r="C194" t="s">
        <v>2116</v>
      </c>
      <c r="D194" t="s">
        <v>1136</v>
      </c>
      <c r="E194" t="s">
        <v>109</v>
      </c>
      <c r="H194">
        <v>323</v>
      </c>
    </row>
    <row r="195" spans="1:8" x14ac:dyDescent="0.25">
      <c r="A195">
        <v>213</v>
      </c>
      <c r="B195" t="s">
        <v>4793</v>
      </c>
      <c r="C195" t="s">
        <v>93</v>
      </c>
      <c r="D195" t="s">
        <v>4794</v>
      </c>
      <c r="E195" t="s">
        <v>24</v>
      </c>
      <c r="H195">
        <v>990</v>
      </c>
    </row>
    <row r="196" spans="1:8" x14ac:dyDescent="0.25">
      <c r="A196">
        <v>214</v>
      </c>
      <c r="B196" t="s">
        <v>3332</v>
      </c>
      <c r="C196" t="s">
        <v>170</v>
      </c>
      <c r="D196" t="s">
        <v>3331</v>
      </c>
      <c r="E196" t="s">
        <v>3333</v>
      </c>
      <c r="H196">
        <v>557</v>
      </c>
    </row>
    <row r="197" spans="1:8" x14ac:dyDescent="0.25">
      <c r="A197">
        <v>215</v>
      </c>
      <c r="B197" t="s">
        <v>3363</v>
      </c>
      <c r="C197" t="s">
        <v>855</v>
      </c>
      <c r="D197" t="s">
        <v>3362</v>
      </c>
      <c r="E197" t="s">
        <v>2588</v>
      </c>
      <c r="H197">
        <v>783</v>
      </c>
    </row>
    <row r="198" spans="1:8" x14ac:dyDescent="0.25">
      <c r="A198">
        <v>216</v>
      </c>
      <c r="B198" t="s">
        <v>4776</v>
      </c>
      <c r="C198" t="s">
        <v>4777</v>
      </c>
      <c r="D198" t="s">
        <v>4778</v>
      </c>
      <c r="E198" t="s">
        <v>4779</v>
      </c>
      <c r="H198">
        <v>8</v>
      </c>
    </row>
    <row r="199" spans="1:8" x14ac:dyDescent="0.25">
      <c r="A199">
        <v>217</v>
      </c>
      <c r="B199" t="s">
        <v>3874</v>
      </c>
      <c r="C199" t="s">
        <v>46</v>
      </c>
      <c r="D199" t="s">
        <v>47</v>
      </c>
      <c r="E199" t="s">
        <v>12</v>
      </c>
      <c r="H199">
        <v>12</v>
      </c>
    </row>
    <row r="200" spans="1:8" x14ac:dyDescent="0.25">
      <c r="A200">
        <v>218</v>
      </c>
      <c r="B200" t="s">
        <v>3877</v>
      </c>
      <c r="C200" t="s">
        <v>43</v>
      </c>
      <c r="D200" t="s">
        <v>3878</v>
      </c>
      <c r="E200" t="s">
        <v>31</v>
      </c>
      <c r="H200">
        <v>221</v>
      </c>
    </row>
    <row r="201" spans="1:8" x14ac:dyDescent="0.25">
      <c r="A201">
        <v>219</v>
      </c>
      <c r="B201" t="s">
        <v>3304</v>
      </c>
      <c r="C201" t="s">
        <v>853</v>
      </c>
      <c r="D201" t="s">
        <v>3303</v>
      </c>
      <c r="E201" t="s">
        <v>1379</v>
      </c>
      <c r="H201">
        <v>262</v>
      </c>
    </row>
    <row r="202" spans="1:8" x14ac:dyDescent="0.25">
      <c r="A202">
        <v>220</v>
      </c>
      <c r="B202" t="s">
        <v>3579</v>
      </c>
      <c r="C202" t="s">
        <v>2989</v>
      </c>
      <c r="D202" t="s">
        <v>1112</v>
      </c>
      <c r="E202" t="s">
        <v>2989</v>
      </c>
      <c r="H202">
        <v>41</v>
      </c>
    </row>
    <row r="203" spans="1:8" x14ac:dyDescent="0.25">
      <c r="A203">
        <v>221</v>
      </c>
      <c r="B203" t="s">
        <v>3246</v>
      </c>
      <c r="C203" t="s">
        <v>3245</v>
      </c>
      <c r="D203" t="s">
        <v>3244</v>
      </c>
      <c r="E203" t="s">
        <v>3069</v>
      </c>
      <c r="H203">
        <v>504</v>
      </c>
    </row>
    <row r="204" spans="1:8" x14ac:dyDescent="0.25">
      <c r="A204">
        <v>222</v>
      </c>
      <c r="B204" t="s">
        <v>3799</v>
      </c>
      <c r="C204" t="s">
        <v>3800</v>
      </c>
      <c r="D204" t="s">
        <v>3801</v>
      </c>
      <c r="E204" t="s">
        <v>12</v>
      </c>
      <c r="H204">
        <v>493</v>
      </c>
    </row>
    <row r="205" spans="1:8" x14ac:dyDescent="0.25">
      <c r="A205">
        <v>223</v>
      </c>
      <c r="B205" t="s">
        <v>3513</v>
      </c>
      <c r="C205" t="s">
        <v>3033</v>
      </c>
      <c r="D205" t="s">
        <v>3512</v>
      </c>
      <c r="E205" t="s">
        <v>131</v>
      </c>
      <c r="H205">
        <v>359</v>
      </c>
    </row>
    <row r="206" spans="1:8" x14ac:dyDescent="0.25">
      <c r="A206">
        <v>224</v>
      </c>
      <c r="B206" t="s">
        <v>3437</v>
      </c>
      <c r="C206" t="s">
        <v>3135</v>
      </c>
      <c r="D206" t="s">
        <v>2572</v>
      </c>
      <c r="E206" t="s">
        <v>3137</v>
      </c>
      <c r="H206">
        <v>205</v>
      </c>
    </row>
    <row r="207" spans="1:8" x14ac:dyDescent="0.25">
      <c r="A207">
        <v>225</v>
      </c>
      <c r="B207" t="s">
        <v>3377</v>
      </c>
      <c r="C207" t="s">
        <v>298</v>
      </c>
      <c r="D207" t="s">
        <v>3376</v>
      </c>
      <c r="E207" t="s">
        <v>67</v>
      </c>
      <c r="H207">
        <v>717</v>
      </c>
    </row>
    <row r="208" spans="1:8" x14ac:dyDescent="0.25">
      <c r="A208">
        <v>226</v>
      </c>
      <c r="B208" t="s">
        <v>3121</v>
      </c>
      <c r="C208" t="s">
        <v>152</v>
      </c>
      <c r="D208" t="s">
        <v>153</v>
      </c>
      <c r="E208" t="s">
        <v>12</v>
      </c>
      <c r="H208">
        <v>303</v>
      </c>
    </row>
    <row r="209" spans="1:8" x14ac:dyDescent="0.25">
      <c r="A209">
        <v>227</v>
      </c>
      <c r="B209" t="s">
        <v>3148</v>
      </c>
      <c r="C209" t="s">
        <v>419</v>
      </c>
      <c r="D209" t="s">
        <v>3147</v>
      </c>
      <c r="E209" t="s">
        <v>3069</v>
      </c>
      <c r="H209">
        <v>23</v>
      </c>
    </row>
    <row r="210" spans="1:8" x14ac:dyDescent="0.25">
      <c r="A210">
        <v>228</v>
      </c>
      <c r="B210" t="s">
        <v>3318</v>
      </c>
      <c r="C210" t="s">
        <v>3317</v>
      </c>
      <c r="D210" t="s">
        <v>286</v>
      </c>
      <c r="E210" t="s">
        <v>67</v>
      </c>
      <c r="H210">
        <v>30</v>
      </c>
    </row>
    <row r="211" spans="1:8" x14ac:dyDescent="0.25">
      <c r="A211">
        <v>229</v>
      </c>
      <c r="B211" t="s">
        <v>3361</v>
      </c>
      <c r="C211" t="s">
        <v>316</v>
      </c>
      <c r="D211" t="s">
        <v>241</v>
      </c>
      <c r="E211" t="s">
        <v>88</v>
      </c>
      <c r="H211">
        <v>325</v>
      </c>
    </row>
    <row r="212" spans="1:8" x14ac:dyDescent="0.25">
      <c r="A212">
        <v>230</v>
      </c>
      <c r="B212" t="s">
        <v>3329</v>
      </c>
      <c r="C212" t="s">
        <v>3100</v>
      </c>
      <c r="D212" t="s">
        <v>3328</v>
      </c>
      <c r="E212" t="s">
        <v>3330</v>
      </c>
      <c r="H212">
        <v>339</v>
      </c>
    </row>
    <row r="213" spans="1:8" x14ac:dyDescent="0.25">
      <c r="A213">
        <v>231</v>
      </c>
      <c r="B213" t="s">
        <v>3388</v>
      </c>
      <c r="C213" t="s">
        <v>567</v>
      </c>
      <c r="D213" t="s">
        <v>3387</v>
      </c>
      <c r="E213" t="s">
        <v>24</v>
      </c>
      <c r="H213">
        <v>131</v>
      </c>
    </row>
    <row r="214" spans="1:8" x14ac:dyDescent="0.25">
      <c r="A214">
        <v>232</v>
      </c>
      <c r="B214" t="s">
        <v>4796</v>
      </c>
      <c r="C214" t="s">
        <v>4797</v>
      </c>
      <c r="D214" t="s">
        <v>4798</v>
      </c>
      <c r="E214" t="s">
        <v>4797</v>
      </c>
      <c r="H214">
        <v>7</v>
      </c>
    </row>
    <row r="215" spans="1:8" x14ac:dyDescent="0.25">
      <c r="A215">
        <v>233</v>
      </c>
      <c r="B215" t="s">
        <v>4826</v>
      </c>
      <c r="C215" t="s">
        <v>622</v>
      </c>
      <c r="D215" t="s">
        <v>4827</v>
      </c>
      <c r="E215" t="s">
        <v>341</v>
      </c>
      <c r="H215">
        <v>16</v>
      </c>
    </row>
    <row r="216" spans="1:8" x14ac:dyDescent="0.25">
      <c r="A216">
        <v>234</v>
      </c>
      <c r="B216" t="s">
        <v>3312</v>
      </c>
      <c r="C216" t="s">
        <v>650</v>
      </c>
      <c r="D216" t="s">
        <v>3311</v>
      </c>
      <c r="E216" t="s">
        <v>3255</v>
      </c>
      <c r="H216">
        <v>1462</v>
      </c>
    </row>
    <row r="217" spans="1:8" x14ac:dyDescent="0.25">
      <c r="A217">
        <v>236</v>
      </c>
      <c r="B217" t="s">
        <v>3342</v>
      </c>
      <c r="C217" t="s">
        <v>2587</v>
      </c>
      <c r="D217" t="s">
        <v>3341</v>
      </c>
      <c r="E217" t="s">
        <v>2588</v>
      </c>
      <c r="H217">
        <v>201</v>
      </c>
    </row>
    <row r="218" spans="1:8" x14ac:dyDescent="0.25">
      <c r="A218">
        <v>237</v>
      </c>
      <c r="B218" t="s">
        <v>3428</v>
      </c>
      <c r="C218" t="s">
        <v>552</v>
      </c>
      <c r="D218" t="s">
        <v>3427</v>
      </c>
      <c r="E218" t="s">
        <v>12</v>
      </c>
      <c r="H218">
        <v>745</v>
      </c>
    </row>
    <row r="219" spans="1:8" x14ac:dyDescent="0.25">
      <c r="A219">
        <v>238</v>
      </c>
      <c r="B219" t="s">
        <v>3898</v>
      </c>
      <c r="C219" t="s">
        <v>584</v>
      </c>
      <c r="D219" t="s">
        <v>3899</v>
      </c>
      <c r="E219" t="s">
        <v>24</v>
      </c>
      <c r="H219">
        <v>77</v>
      </c>
    </row>
    <row r="220" spans="1:8" x14ac:dyDescent="0.25">
      <c r="A220">
        <v>239</v>
      </c>
      <c r="B220" t="s">
        <v>3539</v>
      </c>
      <c r="C220" t="s">
        <v>3538</v>
      </c>
      <c r="D220" t="s">
        <v>3537</v>
      </c>
      <c r="E220" t="s">
        <v>3151</v>
      </c>
      <c r="H220">
        <v>585</v>
      </c>
    </row>
    <row r="221" spans="1:8" x14ac:dyDescent="0.25">
      <c r="A221">
        <v>240</v>
      </c>
      <c r="B221" t="s">
        <v>4802</v>
      </c>
      <c r="C221" t="s">
        <v>4803</v>
      </c>
      <c r="D221" t="s">
        <v>4804</v>
      </c>
      <c r="E221" t="s">
        <v>4805</v>
      </c>
      <c r="H221">
        <v>353</v>
      </c>
    </row>
    <row r="222" spans="1:8" x14ac:dyDescent="0.25">
      <c r="A222">
        <v>241</v>
      </c>
      <c r="B222" t="s">
        <v>4799</v>
      </c>
      <c r="C222" t="s">
        <v>4800</v>
      </c>
      <c r="D222" t="s">
        <v>4801</v>
      </c>
      <c r="E222" t="s">
        <v>67</v>
      </c>
      <c r="H222">
        <v>190</v>
      </c>
    </row>
    <row r="223" spans="1:8" x14ac:dyDescent="0.25">
      <c r="A223">
        <v>242</v>
      </c>
      <c r="B223" t="s">
        <v>4823</v>
      </c>
      <c r="C223" t="s">
        <v>402</v>
      </c>
      <c r="D223" t="s">
        <v>403</v>
      </c>
      <c r="E223" t="s">
        <v>402</v>
      </c>
      <c r="H223">
        <v>2</v>
      </c>
    </row>
    <row r="224" spans="1:8" x14ac:dyDescent="0.25">
      <c r="A224">
        <v>243</v>
      </c>
      <c r="B224" t="s">
        <v>3284</v>
      </c>
      <c r="C224" t="s">
        <v>133</v>
      </c>
      <c r="D224" t="s">
        <v>3283</v>
      </c>
      <c r="E224" t="s">
        <v>77</v>
      </c>
      <c r="H224">
        <v>126</v>
      </c>
    </row>
    <row r="225" spans="1:8" x14ac:dyDescent="0.25">
      <c r="A225">
        <v>244</v>
      </c>
      <c r="B225" t="s">
        <v>3440</v>
      </c>
      <c r="C225" t="s">
        <v>3439</v>
      </c>
      <c r="D225" t="s">
        <v>3438</v>
      </c>
      <c r="E225" t="s">
        <v>3441</v>
      </c>
      <c r="H225">
        <v>1449</v>
      </c>
    </row>
    <row r="226" spans="1:8" x14ac:dyDescent="0.25">
      <c r="A226">
        <v>245</v>
      </c>
      <c r="B226" t="s">
        <v>3068</v>
      </c>
      <c r="C226" t="s">
        <v>3067</v>
      </c>
      <c r="D226" t="s">
        <v>3066</v>
      </c>
      <c r="E226" t="s">
        <v>3069</v>
      </c>
      <c r="H226">
        <v>72</v>
      </c>
    </row>
    <row r="227" spans="1:8" x14ac:dyDescent="0.25">
      <c r="A227">
        <v>246</v>
      </c>
      <c r="B227" t="s">
        <v>3220</v>
      </c>
      <c r="C227" t="s">
        <v>641</v>
      </c>
      <c r="D227" t="s">
        <v>231</v>
      </c>
      <c r="E227" t="s">
        <v>1311</v>
      </c>
      <c r="H227">
        <v>386</v>
      </c>
    </row>
    <row r="228" spans="1:8" x14ac:dyDescent="0.25">
      <c r="A228">
        <v>247</v>
      </c>
      <c r="B228" t="s">
        <v>3171</v>
      </c>
      <c r="C228" t="s">
        <v>3033</v>
      </c>
      <c r="D228" t="s">
        <v>3170</v>
      </c>
      <c r="E228" t="s">
        <v>131</v>
      </c>
      <c r="H228">
        <v>291</v>
      </c>
    </row>
    <row r="229" spans="1:8" x14ac:dyDescent="0.25">
      <c r="A229">
        <v>248</v>
      </c>
      <c r="B229" t="s">
        <v>3216</v>
      </c>
      <c r="C229" t="s">
        <v>33</v>
      </c>
      <c r="D229" t="s">
        <v>2876</v>
      </c>
      <c r="E229" t="s">
        <v>2989</v>
      </c>
      <c r="H229">
        <v>200</v>
      </c>
    </row>
    <row r="230" spans="1:8" x14ac:dyDescent="0.25">
      <c r="A230">
        <v>249</v>
      </c>
      <c r="B230" t="s">
        <v>4811</v>
      </c>
      <c r="C230" t="s">
        <v>584</v>
      </c>
      <c r="D230" t="s">
        <v>4812</v>
      </c>
      <c r="E230" t="s">
        <v>24</v>
      </c>
      <c r="H230">
        <v>196</v>
      </c>
    </row>
    <row r="231" spans="1:8" x14ac:dyDescent="0.25">
      <c r="A231">
        <v>251</v>
      </c>
      <c r="B231" t="s">
        <v>3454</v>
      </c>
      <c r="C231" t="s">
        <v>3453</v>
      </c>
      <c r="D231" t="s">
        <v>324</v>
      </c>
      <c r="E231" t="s">
        <v>88</v>
      </c>
      <c r="H231">
        <v>71</v>
      </c>
    </row>
    <row r="232" spans="1:8" x14ac:dyDescent="0.25">
      <c r="A232">
        <v>252</v>
      </c>
      <c r="B232" t="s">
        <v>3399</v>
      </c>
      <c r="C232" t="s">
        <v>616</v>
      </c>
      <c r="D232" t="s">
        <v>3398</v>
      </c>
      <c r="E232" t="s">
        <v>67</v>
      </c>
      <c r="H232">
        <v>1027</v>
      </c>
    </row>
    <row r="233" spans="1:8" x14ac:dyDescent="0.25">
      <c r="A233">
        <v>253</v>
      </c>
      <c r="B233" t="s">
        <v>4806</v>
      </c>
      <c r="C233" t="s">
        <v>43</v>
      </c>
      <c r="D233" t="s">
        <v>2963</v>
      </c>
      <c r="E233" t="s">
        <v>31</v>
      </c>
      <c r="H233">
        <v>689</v>
      </c>
    </row>
    <row r="234" spans="1:8" x14ac:dyDescent="0.25">
      <c r="A234">
        <v>254</v>
      </c>
      <c r="B234" t="s">
        <v>3197</v>
      </c>
      <c r="C234" t="s">
        <v>22</v>
      </c>
      <c r="D234" t="s">
        <v>3196</v>
      </c>
      <c r="E234" t="s">
        <v>24</v>
      </c>
      <c r="H234">
        <v>420</v>
      </c>
    </row>
    <row r="235" spans="1:8" x14ac:dyDescent="0.25">
      <c r="A235">
        <v>255</v>
      </c>
      <c r="B235" t="s">
        <v>3489</v>
      </c>
      <c r="C235" t="s">
        <v>3488</v>
      </c>
      <c r="D235" t="s">
        <v>4787</v>
      </c>
      <c r="E235" t="s">
        <v>3490</v>
      </c>
      <c r="H235">
        <v>1322</v>
      </c>
    </row>
    <row r="236" spans="1:8" x14ac:dyDescent="0.25">
      <c r="A236">
        <v>256</v>
      </c>
      <c r="B236" t="s">
        <v>3348</v>
      </c>
      <c r="C236" t="s">
        <v>622</v>
      </c>
      <c r="D236" t="s">
        <v>3347</v>
      </c>
      <c r="E236" t="s">
        <v>12</v>
      </c>
      <c r="H236">
        <v>171</v>
      </c>
    </row>
    <row r="237" spans="1:8" x14ac:dyDescent="0.25">
      <c r="A237">
        <v>257</v>
      </c>
      <c r="B237" t="s">
        <v>4820</v>
      </c>
      <c r="C237" t="s">
        <v>833</v>
      </c>
      <c r="D237" t="s">
        <v>4821</v>
      </c>
      <c r="E237" t="s">
        <v>4822</v>
      </c>
      <c r="H237">
        <v>57</v>
      </c>
    </row>
    <row r="238" spans="1:8" x14ac:dyDescent="0.25">
      <c r="A238">
        <v>258</v>
      </c>
      <c r="B238" t="s">
        <v>3324</v>
      </c>
      <c r="C238" t="s">
        <v>790</v>
      </c>
      <c r="D238" t="s">
        <v>1577</v>
      </c>
      <c r="E238" t="s">
        <v>3325</v>
      </c>
      <c r="H238">
        <v>1480</v>
      </c>
    </row>
    <row r="239" spans="1:8" x14ac:dyDescent="0.25">
      <c r="A239">
        <v>259</v>
      </c>
      <c r="B239" t="s">
        <v>3393</v>
      </c>
      <c r="C239" t="s">
        <v>316</v>
      </c>
      <c r="D239" t="s">
        <v>359</v>
      </c>
      <c r="E239" t="s">
        <v>88</v>
      </c>
      <c r="H239">
        <v>63</v>
      </c>
    </row>
    <row r="240" spans="1:8" x14ac:dyDescent="0.25">
      <c r="A240">
        <v>260</v>
      </c>
      <c r="B240" t="s">
        <v>4840</v>
      </c>
      <c r="C240" t="s">
        <v>607</v>
      </c>
      <c r="D240" t="s">
        <v>4841</v>
      </c>
      <c r="E240" t="s">
        <v>2731</v>
      </c>
      <c r="H240">
        <v>35</v>
      </c>
    </row>
    <row r="241" spans="1:8" x14ac:dyDescent="0.25">
      <c r="A241">
        <v>261</v>
      </c>
      <c r="B241" t="s">
        <v>3384</v>
      </c>
      <c r="C241" t="s">
        <v>3383</v>
      </c>
      <c r="D241" t="s">
        <v>3382</v>
      </c>
      <c r="E241" t="s">
        <v>3137</v>
      </c>
      <c r="H241">
        <v>165</v>
      </c>
    </row>
    <row r="242" spans="1:8" x14ac:dyDescent="0.25">
      <c r="A242">
        <v>262</v>
      </c>
      <c r="B242" t="s">
        <v>3211</v>
      </c>
      <c r="C242" t="s">
        <v>3210</v>
      </c>
      <c r="D242" t="s">
        <v>3209</v>
      </c>
      <c r="E242" t="s">
        <v>12</v>
      </c>
      <c r="H242">
        <v>921</v>
      </c>
    </row>
    <row r="243" spans="1:8" x14ac:dyDescent="0.25">
      <c r="A243">
        <v>264</v>
      </c>
      <c r="B243" t="s">
        <v>3048</v>
      </c>
      <c r="C243" t="s">
        <v>3047</v>
      </c>
      <c r="D243" t="s">
        <v>3046</v>
      </c>
      <c r="E243" t="s">
        <v>24</v>
      </c>
      <c r="H243">
        <v>16</v>
      </c>
    </row>
    <row r="244" spans="1:8" x14ac:dyDescent="0.25">
      <c r="A244">
        <v>266</v>
      </c>
      <c r="B244" t="s">
        <v>3323</v>
      </c>
      <c r="C244" t="s">
        <v>520</v>
      </c>
      <c r="D244" t="s">
        <v>3322</v>
      </c>
      <c r="E244" t="s">
        <v>88</v>
      </c>
      <c r="H244">
        <v>332</v>
      </c>
    </row>
    <row r="245" spans="1:8" x14ac:dyDescent="0.25">
      <c r="A245">
        <v>268</v>
      </c>
      <c r="B245" t="s">
        <v>4936</v>
      </c>
      <c r="C245" t="s">
        <v>3077</v>
      </c>
      <c r="D245" t="s">
        <v>4937</v>
      </c>
      <c r="E245" t="s">
        <v>31</v>
      </c>
      <c r="H245">
        <v>1</v>
      </c>
    </row>
    <row r="246" spans="1:8" x14ac:dyDescent="0.25">
      <c r="A246">
        <v>269</v>
      </c>
      <c r="B246" t="s">
        <v>3371</v>
      </c>
      <c r="C246" t="s">
        <v>822</v>
      </c>
      <c r="D246" t="s">
        <v>3370</v>
      </c>
      <c r="E246" t="s">
        <v>376</v>
      </c>
      <c r="H246">
        <v>499</v>
      </c>
    </row>
    <row r="247" spans="1:8" x14ac:dyDescent="0.25">
      <c r="A247">
        <v>271</v>
      </c>
      <c r="B247" t="s">
        <v>3313</v>
      </c>
      <c r="C247" t="s">
        <v>599</v>
      </c>
      <c r="D247" t="s">
        <v>2833</v>
      </c>
      <c r="E247" t="s">
        <v>12</v>
      </c>
      <c r="H247">
        <v>155</v>
      </c>
    </row>
    <row r="248" spans="1:8" x14ac:dyDescent="0.25">
      <c r="A248">
        <v>272</v>
      </c>
      <c r="B248" t="s">
        <v>3282</v>
      </c>
      <c r="C248" t="s">
        <v>316</v>
      </c>
      <c r="D248" t="s">
        <v>3281</v>
      </c>
      <c r="E248" t="s">
        <v>88</v>
      </c>
      <c r="H248">
        <v>155</v>
      </c>
    </row>
    <row r="249" spans="1:8" x14ac:dyDescent="0.25">
      <c r="A249">
        <v>274</v>
      </c>
      <c r="B249" t="s">
        <v>3321</v>
      </c>
      <c r="C249" t="s">
        <v>3320</v>
      </c>
      <c r="D249" t="s">
        <v>3319</v>
      </c>
      <c r="E249" t="s">
        <v>716</v>
      </c>
      <c r="H249">
        <v>1278</v>
      </c>
    </row>
    <row r="250" spans="1:8" x14ac:dyDescent="0.25">
      <c r="A250">
        <v>275</v>
      </c>
      <c r="B250" t="s">
        <v>3350</v>
      </c>
      <c r="C250" t="s">
        <v>1073</v>
      </c>
      <c r="D250" t="s">
        <v>3349</v>
      </c>
      <c r="E250" t="s">
        <v>1073</v>
      </c>
      <c r="H250">
        <v>207</v>
      </c>
    </row>
    <row r="251" spans="1:8" x14ac:dyDescent="0.25">
      <c r="A251">
        <v>276</v>
      </c>
      <c r="B251" t="s">
        <v>4824</v>
      </c>
      <c r="C251" t="s">
        <v>864</v>
      </c>
      <c r="D251" t="s">
        <v>4825</v>
      </c>
      <c r="E251" t="s">
        <v>2420</v>
      </c>
      <c r="H251">
        <v>258</v>
      </c>
    </row>
    <row r="252" spans="1:8" x14ac:dyDescent="0.25">
      <c r="A252">
        <v>277</v>
      </c>
      <c r="B252" t="s">
        <v>3578</v>
      </c>
      <c r="C252" t="s">
        <v>46</v>
      </c>
      <c r="D252" t="s">
        <v>155</v>
      </c>
      <c r="E252" t="s">
        <v>12</v>
      </c>
      <c r="H252">
        <v>96</v>
      </c>
    </row>
    <row r="253" spans="1:8" x14ac:dyDescent="0.25">
      <c r="A253">
        <v>278</v>
      </c>
      <c r="B253" t="s">
        <v>3882</v>
      </c>
      <c r="C253" t="s">
        <v>43</v>
      </c>
      <c r="D253" t="s">
        <v>3497</v>
      </c>
      <c r="E253" t="s">
        <v>31</v>
      </c>
      <c r="H253">
        <v>578</v>
      </c>
    </row>
    <row r="254" spans="1:8" x14ac:dyDescent="0.25">
      <c r="A254">
        <v>279</v>
      </c>
      <c r="B254" t="s">
        <v>3286</v>
      </c>
      <c r="C254" t="s">
        <v>750</v>
      </c>
      <c r="D254" t="s">
        <v>3285</v>
      </c>
      <c r="E254" t="s">
        <v>2708</v>
      </c>
      <c r="H254">
        <v>508</v>
      </c>
    </row>
    <row r="255" spans="1:8" x14ac:dyDescent="0.25">
      <c r="A255">
        <v>280</v>
      </c>
      <c r="B255" t="s">
        <v>3358</v>
      </c>
      <c r="C255" t="s">
        <v>750</v>
      </c>
      <c r="D255" t="s">
        <v>3357</v>
      </c>
      <c r="E255" t="s">
        <v>2708</v>
      </c>
      <c r="H255">
        <v>707</v>
      </c>
    </row>
    <row r="256" spans="1:8" x14ac:dyDescent="0.25">
      <c r="A256">
        <v>281</v>
      </c>
      <c r="B256" t="s">
        <v>4790</v>
      </c>
      <c r="C256" t="s">
        <v>4791</v>
      </c>
      <c r="D256" t="s">
        <v>4792</v>
      </c>
      <c r="E256" t="s">
        <v>67</v>
      </c>
      <c r="H256">
        <v>2</v>
      </c>
    </row>
    <row r="257" spans="1:8" x14ac:dyDescent="0.25">
      <c r="A257">
        <v>283</v>
      </c>
      <c r="B257" t="s">
        <v>3344</v>
      </c>
      <c r="C257" t="s">
        <v>780</v>
      </c>
      <c r="D257" t="s">
        <v>3343</v>
      </c>
      <c r="E257" t="s">
        <v>105</v>
      </c>
      <c r="H257">
        <v>379</v>
      </c>
    </row>
    <row r="258" spans="1:8" x14ac:dyDescent="0.25">
      <c r="A258">
        <v>284</v>
      </c>
      <c r="B258" t="s">
        <v>4814</v>
      </c>
      <c r="C258" t="s">
        <v>584</v>
      </c>
      <c r="D258" t="s">
        <v>1072</v>
      </c>
      <c r="E258" t="s">
        <v>24</v>
      </c>
      <c r="H258">
        <v>551</v>
      </c>
    </row>
    <row r="259" spans="1:8" x14ac:dyDescent="0.25">
      <c r="A259">
        <v>285</v>
      </c>
      <c r="B259" t="s">
        <v>3419</v>
      </c>
      <c r="C259" t="s">
        <v>133</v>
      </c>
      <c r="D259" t="s">
        <v>3418</v>
      </c>
      <c r="E259" t="s">
        <v>3169</v>
      </c>
      <c r="H259">
        <v>31</v>
      </c>
    </row>
    <row r="260" spans="1:8" x14ac:dyDescent="0.25">
      <c r="A260">
        <v>286</v>
      </c>
      <c r="B260" t="s">
        <v>3434</v>
      </c>
      <c r="C260" t="s">
        <v>3433</v>
      </c>
      <c r="D260" t="s">
        <v>3432</v>
      </c>
      <c r="E260" t="s">
        <v>12</v>
      </c>
      <c r="H260">
        <v>100</v>
      </c>
    </row>
    <row r="261" spans="1:8" x14ac:dyDescent="0.25">
      <c r="A261">
        <v>287</v>
      </c>
      <c r="B261" t="s">
        <v>3543</v>
      </c>
      <c r="C261" t="s">
        <v>855</v>
      </c>
      <c r="D261" t="s">
        <v>3542</v>
      </c>
      <c r="E261" t="s">
        <v>24</v>
      </c>
      <c r="H261">
        <v>660</v>
      </c>
    </row>
    <row r="262" spans="1:8" x14ac:dyDescent="0.25">
      <c r="A262">
        <v>288</v>
      </c>
      <c r="B262" t="s">
        <v>4807</v>
      </c>
      <c r="C262" t="s">
        <v>4808</v>
      </c>
      <c r="D262" t="s">
        <v>4809</v>
      </c>
      <c r="E262" t="s">
        <v>4810</v>
      </c>
      <c r="H262">
        <v>395</v>
      </c>
    </row>
    <row r="263" spans="1:8" x14ac:dyDescent="0.25">
      <c r="A263">
        <v>289</v>
      </c>
      <c r="B263" t="s">
        <v>3397</v>
      </c>
      <c r="C263" t="s">
        <v>855</v>
      </c>
      <c r="D263" t="s">
        <v>2409</v>
      </c>
      <c r="E263" t="s">
        <v>2588</v>
      </c>
      <c r="H263">
        <v>1390</v>
      </c>
    </row>
    <row r="264" spans="1:8" x14ac:dyDescent="0.25">
      <c r="A264">
        <v>290</v>
      </c>
      <c r="B264" t="s">
        <v>3469</v>
      </c>
      <c r="C264" t="s">
        <v>3135</v>
      </c>
      <c r="D264" t="s">
        <v>3468</v>
      </c>
      <c r="E264" t="s">
        <v>3137</v>
      </c>
      <c r="H264">
        <v>1447</v>
      </c>
    </row>
    <row r="265" spans="1:8" x14ac:dyDescent="0.25">
      <c r="A265">
        <v>291</v>
      </c>
      <c r="B265" t="s">
        <v>3407</v>
      </c>
      <c r="C265" t="s">
        <v>3406</v>
      </c>
      <c r="D265" t="s">
        <v>3405</v>
      </c>
      <c r="E265" t="s">
        <v>24</v>
      </c>
      <c r="H265">
        <v>336</v>
      </c>
    </row>
    <row r="266" spans="1:8" x14ac:dyDescent="0.25">
      <c r="A266">
        <v>292</v>
      </c>
      <c r="B266" t="s">
        <v>3339</v>
      </c>
      <c r="C266" t="s">
        <v>3338</v>
      </c>
      <c r="D266" t="s">
        <v>3337</v>
      </c>
      <c r="E266" t="s">
        <v>3340</v>
      </c>
      <c r="H266">
        <v>411</v>
      </c>
    </row>
    <row r="267" spans="1:8" x14ac:dyDescent="0.25">
      <c r="A267">
        <v>293</v>
      </c>
      <c r="B267" t="s">
        <v>3190</v>
      </c>
      <c r="C267" t="s">
        <v>152</v>
      </c>
      <c r="D267" t="s">
        <v>1095</v>
      </c>
      <c r="E267" t="s">
        <v>12</v>
      </c>
      <c r="H267">
        <v>386</v>
      </c>
    </row>
    <row r="268" spans="1:8" x14ac:dyDescent="0.25">
      <c r="A268">
        <v>294</v>
      </c>
      <c r="B268" t="s">
        <v>4815</v>
      </c>
      <c r="C268" t="s">
        <v>849</v>
      </c>
      <c r="D268" t="s">
        <v>1046</v>
      </c>
      <c r="E268" t="s">
        <v>88</v>
      </c>
      <c r="H268">
        <v>44</v>
      </c>
    </row>
    <row r="269" spans="1:8" x14ac:dyDescent="0.25">
      <c r="A269">
        <v>295</v>
      </c>
      <c r="B269" t="s">
        <v>3509</v>
      </c>
      <c r="C269" t="s">
        <v>3508</v>
      </c>
      <c r="D269" t="s">
        <v>3507</v>
      </c>
      <c r="E269" t="s">
        <v>3508</v>
      </c>
      <c r="H269">
        <v>1372</v>
      </c>
    </row>
    <row r="270" spans="1:8" x14ac:dyDescent="0.25">
      <c r="A270">
        <v>296</v>
      </c>
      <c r="B270" t="s">
        <v>4873</v>
      </c>
      <c r="C270" t="s">
        <v>33</v>
      </c>
      <c r="D270" t="s">
        <v>4874</v>
      </c>
      <c r="E270" t="s">
        <v>12</v>
      </c>
      <c r="H270">
        <v>28</v>
      </c>
    </row>
    <row r="271" spans="1:8" x14ac:dyDescent="0.25">
      <c r="A271">
        <v>298</v>
      </c>
      <c r="B271" t="s">
        <v>4938</v>
      </c>
      <c r="C271" t="s">
        <v>33</v>
      </c>
      <c r="D271" t="s">
        <v>525</v>
      </c>
      <c r="E271" t="s">
        <v>12</v>
      </c>
      <c r="H271">
        <v>176</v>
      </c>
    </row>
    <row r="272" spans="1:8" x14ac:dyDescent="0.25">
      <c r="A272">
        <v>299</v>
      </c>
      <c r="B272" t="s">
        <v>4816</v>
      </c>
      <c r="C272" t="s">
        <v>46</v>
      </c>
      <c r="D272" t="s">
        <v>4817</v>
      </c>
      <c r="E272" t="s">
        <v>12</v>
      </c>
      <c r="H272">
        <v>13</v>
      </c>
    </row>
    <row r="273" spans="1:8" x14ac:dyDescent="0.25">
      <c r="A273">
        <v>300</v>
      </c>
      <c r="B273" t="s">
        <v>3554</v>
      </c>
      <c r="C273" t="s">
        <v>170</v>
      </c>
      <c r="D273" t="s">
        <v>3553</v>
      </c>
      <c r="E273" t="s">
        <v>3555</v>
      </c>
      <c r="H273">
        <v>576</v>
      </c>
    </row>
    <row r="274" spans="1:8" x14ac:dyDescent="0.25">
      <c r="A274">
        <v>301</v>
      </c>
      <c r="B274" t="s">
        <v>3390</v>
      </c>
      <c r="C274" t="s">
        <v>277</v>
      </c>
      <c r="D274" t="s">
        <v>3389</v>
      </c>
      <c r="E274" t="s">
        <v>370</v>
      </c>
      <c r="H274">
        <v>864</v>
      </c>
    </row>
    <row r="275" spans="1:8" x14ac:dyDescent="0.25">
      <c r="A275">
        <v>302</v>
      </c>
      <c r="B275" t="s">
        <v>3450</v>
      </c>
      <c r="C275" t="s">
        <v>622</v>
      </c>
      <c r="D275" t="s">
        <v>3449</v>
      </c>
      <c r="E275" t="s">
        <v>2731</v>
      </c>
      <c r="H275">
        <v>49</v>
      </c>
    </row>
    <row r="276" spans="1:8" x14ac:dyDescent="0.25">
      <c r="A276">
        <v>303</v>
      </c>
      <c r="B276" t="s">
        <v>3581</v>
      </c>
      <c r="C276" t="s">
        <v>616</v>
      </c>
      <c r="D276" t="s">
        <v>3580</v>
      </c>
      <c r="E276" t="s">
        <v>67</v>
      </c>
      <c r="H276">
        <v>382</v>
      </c>
    </row>
    <row r="277" spans="1:8" x14ac:dyDescent="0.25">
      <c r="A277">
        <v>304</v>
      </c>
      <c r="B277" t="s">
        <v>3315</v>
      </c>
      <c r="C277" t="s">
        <v>3314</v>
      </c>
      <c r="D277" t="s">
        <v>53</v>
      </c>
      <c r="E277" t="s">
        <v>3316</v>
      </c>
      <c r="H277">
        <v>82</v>
      </c>
    </row>
    <row r="278" spans="1:8" x14ac:dyDescent="0.25">
      <c r="A278">
        <v>305</v>
      </c>
      <c r="B278" t="s">
        <v>3426</v>
      </c>
      <c r="C278" t="s">
        <v>3245</v>
      </c>
      <c r="D278" t="s">
        <v>3425</v>
      </c>
      <c r="E278" t="s">
        <v>3069</v>
      </c>
      <c r="H278">
        <v>878</v>
      </c>
    </row>
    <row r="279" spans="1:8" x14ac:dyDescent="0.25">
      <c r="A279">
        <v>306</v>
      </c>
      <c r="B279" t="s">
        <v>3763</v>
      </c>
      <c r="C279" t="s">
        <v>503</v>
      </c>
      <c r="D279" t="s">
        <v>504</v>
      </c>
      <c r="E279" t="s">
        <v>505</v>
      </c>
      <c r="H279">
        <v>44</v>
      </c>
    </row>
    <row r="280" spans="1:8" x14ac:dyDescent="0.25">
      <c r="A280">
        <v>307</v>
      </c>
      <c r="B280" t="s">
        <v>3494</v>
      </c>
      <c r="C280" t="s">
        <v>3493</v>
      </c>
      <c r="D280" t="s">
        <v>3492</v>
      </c>
      <c r="E280" t="s">
        <v>131</v>
      </c>
      <c r="H280">
        <v>347</v>
      </c>
    </row>
    <row r="281" spans="1:8" x14ac:dyDescent="0.25">
      <c r="A281">
        <v>308</v>
      </c>
      <c r="B281" t="s">
        <v>3893</v>
      </c>
      <c r="C281" t="s">
        <v>368</v>
      </c>
      <c r="D281" t="s">
        <v>3894</v>
      </c>
      <c r="E281" t="s">
        <v>370</v>
      </c>
      <c r="H281">
        <v>934</v>
      </c>
    </row>
    <row r="282" spans="1:8" x14ac:dyDescent="0.25">
      <c r="A282">
        <v>309</v>
      </c>
      <c r="B282" t="s">
        <v>3310</v>
      </c>
      <c r="C282" t="s">
        <v>277</v>
      </c>
      <c r="D282" t="s">
        <v>3309</v>
      </c>
      <c r="E282" t="s">
        <v>370</v>
      </c>
      <c r="H282">
        <v>1258</v>
      </c>
    </row>
    <row r="283" spans="1:8" x14ac:dyDescent="0.25">
      <c r="A283">
        <v>310</v>
      </c>
      <c r="B283" t="s">
        <v>3298</v>
      </c>
      <c r="C283" t="s">
        <v>298</v>
      </c>
      <c r="D283" t="s">
        <v>3297</v>
      </c>
      <c r="E283" t="s">
        <v>3151</v>
      </c>
      <c r="H283">
        <v>147</v>
      </c>
    </row>
    <row r="284" spans="1:8" x14ac:dyDescent="0.25">
      <c r="A284">
        <v>311</v>
      </c>
      <c r="B284" t="s">
        <v>3416</v>
      </c>
      <c r="C284" t="s">
        <v>3415</v>
      </c>
      <c r="D284" t="s">
        <v>3414</v>
      </c>
      <c r="E284" t="s">
        <v>3417</v>
      </c>
      <c r="H284">
        <v>412</v>
      </c>
    </row>
    <row r="285" spans="1:8" x14ac:dyDescent="0.25">
      <c r="A285">
        <v>312</v>
      </c>
      <c r="B285" t="s">
        <v>3480</v>
      </c>
      <c r="C285" t="s">
        <v>3479</v>
      </c>
      <c r="D285" t="s">
        <v>3478</v>
      </c>
      <c r="E285" t="s">
        <v>24</v>
      </c>
      <c r="H285">
        <v>1434</v>
      </c>
    </row>
    <row r="286" spans="1:8" x14ac:dyDescent="0.25">
      <c r="A286">
        <v>313</v>
      </c>
      <c r="B286" t="s">
        <v>3422</v>
      </c>
      <c r="C286" t="s">
        <v>652</v>
      </c>
      <c r="D286" t="s">
        <v>3421</v>
      </c>
      <c r="E286" t="s">
        <v>2681</v>
      </c>
      <c r="H286">
        <v>1196</v>
      </c>
    </row>
    <row r="287" spans="1:8" x14ac:dyDescent="0.25">
      <c r="A287">
        <v>314</v>
      </c>
      <c r="B287" t="s">
        <v>3881</v>
      </c>
      <c r="C287" t="s">
        <v>597</v>
      </c>
      <c r="D287" t="s">
        <v>392</v>
      </c>
      <c r="E287" t="s">
        <v>393</v>
      </c>
      <c r="H287">
        <v>201</v>
      </c>
    </row>
    <row r="288" spans="1:8" x14ac:dyDescent="0.25">
      <c r="A288">
        <v>315</v>
      </c>
      <c r="B288" t="s">
        <v>3457</v>
      </c>
      <c r="C288" t="s">
        <v>3456</v>
      </c>
      <c r="D288" t="s">
        <v>3455</v>
      </c>
      <c r="E288" t="s">
        <v>131</v>
      </c>
      <c r="H288">
        <v>358</v>
      </c>
    </row>
    <row r="289" spans="1:8" x14ac:dyDescent="0.25">
      <c r="A289">
        <v>316</v>
      </c>
      <c r="B289" t="s">
        <v>3392</v>
      </c>
      <c r="C289" t="s">
        <v>36</v>
      </c>
      <c r="D289" t="s">
        <v>3391</v>
      </c>
      <c r="E289" t="s">
        <v>12</v>
      </c>
      <c r="H289">
        <v>158</v>
      </c>
    </row>
    <row r="290" spans="1:8" x14ac:dyDescent="0.25">
      <c r="A290">
        <v>317</v>
      </c>
      <c r="B290" t="s">
        <v>3336</v>
      </c>
      <c r="C290" t="s">
        <v>3335</v>
      </c>
      <c r="D290" t="s">
        <v>3334</v>
      </c>
      <c r="E290" t="s">
        <v>2731</v>
      </c>
      <c r="H290">
        <v>560</v>
      </c>
    </row>
    <row r="291" spans="1:8" x14ac:dyDescent="0.25">
      <c r="A291">
        <v>318</v>
      </c>
      <c r="B291" t="s">
        <v>4939</v>
      </c>
      <c r="C291" t="s">
        <v>1087</v>
      </c>
      <c r="D291" t="s">
        <v>4940</v>
      </c>
      <c r="E291" t="s">
        <v>4941</v>
      </c>
      <c r="H291">
        <v>24</v>
      </c>
    </row>
    <row r="292" spans="1:8" x14ac:dyDescent="0.25">
      <c r="A292">
        <v>319</v>
      </c>
      <c r="B292" t="s">
        <v>3471</v>
      </c>
      <c r="C292" t="s">
        <v>921</v>
      </c>
      <c r="D292" t="s">
        <v>3470</v>
      </c>
      <c r="E292" t="s">
        <v>921</v>
      </c>
      <c r="H292">
        <v>171</v>
      </c>
    </row>
    <row r="293" spans="1:8" x14ac:dyDescent="0.25">
      <c r="A293">
        <v>320</v>
      </c>
      <c r="B293" t="s">
        <v>3613</v>
      </c>
      <c r="C293" t="s">
        <v>3612</v>
      </c>
      <c r="D293" t="s">
        <v>3611</v>
      </c>
      <c r="E293" t="s">
        <v>3614</v>
      </c>
      <c r="H293">
        <v>494</v>
      </c>
    </row>
    <row r="294" spans="1:8" x14ac:dyDescent="0.25">
      <c r="A294">
        <v>321</v>
      </c>
      <c r="B294" t="s">
        <v>4819</v>
      </c>
      <c r="C294" t="s">
        <v>43</v>
      </c>
      <c r="D294" t="s">
        <v>2778</v>
      </c>
      <c r="E294" t="s">
        <v>12</v>
      </c>
      <c r="H294">
        <v>50</v>
      </c>
    </row>
    <row r="295" spans="1:8" x14ac:dyDescent="0.25">
      <c r="A295">
        <v>322</v>
      </c>
      <c r="B295" t="s">
        <v>3144</v>
      </c>
      <c r="C295" t="s">
        <v>43</v>
      </c>
      <c r="D295" t="s">
        <v>3143</v>
      </c>
      <c r="E295" t="s">
        <v>12</v>
      </c>
      <c r="H295">
        <v>518</v>
      </c>
    </row>
    <row r="296" spans="1:8" x14ac:dyDescent="0.25">
      <c r="A296">
        <v>323</v>
      </c>
      <c r="B296" t="s">
        <v>3146</v>
      </c>
      <c r="C296" t="s">
        <v>415</v>
      </c>
      <c r="D296" t="s">
        <v>3145</v>
      </c>
      <c r="E296" t="s">
        <v>24</v>
      </c>
      <c r="H296">
        <v>268</v>
      </c>
    </row>
    <row r="297" spans="1:8" x14ac:dyDescent="0.25">
      <c r="A297">
        <v>324</v>
      </c>
      <c r="B297" t="s">
        <v>3436</v>
      </c>
      <c r="C297" t="s">
        <v>693</v>
      </c>
      <c r="D297" t="s">
        <v>3435</v>
      </c>
      <c r="E297" t="s">
        <v>24</v>
      </c>
      <c r="H297">
        <v>255</v>
      </c>
    </row>
    <row r="298" spans="1:8" x14ac:dyDescent="0.25">
      <c r="A298">
        <v>325</v>
      </c>
      <c r="B298" t="s">
        <v>3530</v>
      </c>
      <c r="C298" t="s">
        <v>3529</v>
      </c>
      <c r="D298" t="s">
        <v>3528</v>
      </c>
      <c r="E298" t="s">
        <v>3531</v>
      </c>
      <c r="H298">
        <v>1277</v>
      </c>
    </row>
    <row r="299" spans="1:8" x14ac:dyDescent="0.25">
      <c r="A299">
        <v>326</v>
      </c>
      <c r="B299" t="s">
        <v>3511</v>
      </c>
      <c r="C299" t="s">
        <v>650</v>
      </c>
      <c r="D299" t="s">
        <v>3510</v>
      </c>
      <c r="E299" t="s">
        <v>353</v>
      </c>
      <c r="H299">
        <v>227</v>
      </c>
    </row>
    <row r="300" spans="1:8" x14ac:dyDescent="0.25">
      <c r="A300">
        <v>327</v>
      </c>
      <c r="B300" t="s">
        <v>3395</v>
      </c>
      <c r="C300" t="s">
        <v>3394</v>
      </c>
      <c r="D300" t="s">
        <v>4795</v>
      </c>
      <c r="E300" t="s">
        <v>3396</v>
      </c>
      <c r="H300">
        <v>192</v>
      </c>
    </row>
    <row r="301" spans="1:8" x14ac:dyDescent="0.25">
      <c r="A301">
        <v>328</v>
      </c>
      <c r="B301" t="s">
        <v>3519</v>
      </c>
      <c r="C301" t="s">
        <v>3518</v>
      </c>
      <c r="D301" t="s">
        <v>3517</v>
      </c>
      <c r="E301" t="s">
        <v>67</v>
      </c>
      <c r="H301">
        <v>135</v>
      </c>
    </row>
    <row r="302" spans="1:8" x14ac:dyDescent="0.25">
      <c r="A302">
        <v>329</v>
      </c>
      <c r="B302" t="s">
        <v>3616</v>
      </c>
      <c r="C302" t="s">
        <v>3612</v>
      </c>
      <c r="D302" t="s">
        <v>3615</v>
      </c>
      <c r="E302" t="s">
        <v>3614</v>
      </c>
      <c r="H302">
        <v>273</v>
      </c>
    </row>
    <row r="303" spans="1:8" x14ac:dyDescent="0.25">
      <c r="A303">
        <v>330</v>
      </c>
      <c r="B303" t="s">
        <v>3467</v>
      </c>
      <c r="C303" t="s">
        <v>855</v>
      </c>
      <c r="D303" t="s">
        <v>3466</v>
      </c>
      <c r="E303" t="s">
        <v>2588</v>
      </c>
      <c r="H303">
        <v>542</v>
      </c>
    </row>
    <row r="304" spans="1:8" x14ac:dyDescent="0.25">
      <c r="A304">
        <v>331</v>
      </c>
      <c r="B304" t="s">
        <v>3527</v>
      </c>
      <c r="C304" t="s">
        <v>3165</v>
      </c>
      <c r="D304" t="s">
        <v>3526</v>
      </c>
      <c r="E304" t="s">
        <v>24</v>
      </c>
      <c r="H304">
        <v>453</v>
      </c>
    </row>
    <row r="305" spans="1:8" x14ac:dyDescent="0.25">
      <c r="A305">
        <v>332</v>
      </c>
      <c r="B305" t="s">
        <v>3752</v>
      </c>
      <c r="C305" t="s">
        <v>3753</v>
      </c>
      <c r="D305" t="s">
        <v>3754</v>
      </c>
      <c r="E305" t="s">
        <v>3755</v>
      </c>
      <c r="H305">
        <v>1210</v>
      </c>
    </row>
    <row r="306" spans="1:8" x14ac:dyDescent="0.25">
      <c r="A306">
        <v>333</v>
      </c>
      <c r="B306" t="s">
        <v>3473</v>
      </c>
      <c r="C306" t="s">
        <v>641</v>
      </c>
      <c r="D306" t="s">
        <v>3472</v>
      </c>
      <c r="E306" t="s">
        <v>3474</v>
      </c>
      <c r="H306">
        <v>1454</v>
      </c>
    </row>
    <row r="307" spans="1:8" x14ac:dyDescent="0.25">
      <c r="A307">
        <v>334</v>
      </c>
      <c r="B307" t="s">
        <v>3601</v>
      </c>
      <c r="C307" t="s">
        <v>650</v>
      </c>
      <c r="D307" t="s">
        <v>3600</v>
      </c>
      <c r="E307" t="s">
        <v>67</v>
      </c>
      <c r="H307">
        <v>455</v>
      </c>
    </row>
    <row r="308" spans="1:8" x14ac:dyDescent="0.25">
      <c r="A308">
        <v>335</v>
      </c>
      <c r="B308" t="s">
        <v>3346</v>
      </c>
      <c r="C308" t="s">
        <v>652</v>
      </c>
      <c r="D308" t="s">
        <v>3345</v>
      </c>
      <c r="E308" t="s">
        <v>2681</v>
      </c>
      <c r="H308">
        <v>833</v>
      </c>
    </row>
    <row r="309" spans="1:8" x14ac:dyDescent="0.25">
      <c r="A309">
        <v>336</v>
      </c>
      <c r="B309" t="s">
        <v>3487</v>
      </c>
      <c r="C309" t="s">
        <v>247</v>
      </c>
      <c r="D309" t="s">
        <v>361</v>
      </c>
      <c r="E309" t="s">
        <v>12</v>
      </c>
      <c r="H309">
        <v>336</v>
      </c>
    </row>
    <row r="310" spans="1:8" x14ac:dyDescent="0.25">
      <c r="A310">
        <v>337</v>
      </c>
      <c r="B310" t="s">
        <v>3424</v>
      </c>
      <c r="C310" t="s">
        <v>750</v>
      </c>
      <c r="D310" t="s">
        <v>3423</v>
      </c>
      <c r="E310" t="s">
        <v>2708</v>
      </c>
      <c r="H310">
        <v>73</v>
      </c>
    </row>
    <row r="311" spans="1:8" x14ac:dyDescent="0.25">
      <c r="A311">
        <v>338</v>
      </c>
      <c r="B311" t="s">
        <v>3461</v>
      </c>
      <c r="C311" t="s">
        <v>1795</v>
      </c>
      <c r="D311" t="s">
        <v>3460</v>
      </c>
      <c r="E311" t="s">
        <v>341</v>
      </c>
      <c r="H311">
        <v>943</v>
      </c>
    </row>
    <row r="312" spans="1:8" x14ac:dyDescent="0.25">
      <c r="A312">
        <v>339</v>
      </c>
      <c r="B312" t="s">
        <v>3566</v>
      </c>
      <c r="C312" t="s">
        <v>3565</v>
      </c>
      <c r="D312" t="s">
        <v>3564</v>
      </c>
      <c r="E312" t="s">
        <v>3567</v>
      </c>
      <c r="H312">
        <v>413</v>
      </c>
    </row>
    <row r="313" spans="1:8" x14ac:dyDescent="0.25">
      <c r="A313">
        <v>340</v>
      </c>
      <c r="B313" t="s">
        <v>3503</v>
      </c>
      <c r="C313" t="s">
        <v>3502</v>
      </c>
      <c r="D313" t="s">
        <v>4856</v>
      </c>
      <c r="E313" t="s">
        <v>3151</v>
      </c>
      <c r="H313">
        <v>155</v>
      </c>
    </row>
    <row r="314" spans="1:8" x14ac:dyDescent="0.25">
      <c r="A314">
        <v>341</v>
      </c>
      <c r="B314" t="s">
        <v>3448</v>
      </c>
      <c r="C314" t="s">
        <v>3447</v>
      </c>
      <c r="D314" t="s">
        <v>3446</v>
      </c>
      <c r="E314" t="s">
        <v>2708</v>
      </c>
      <c r="H314">
        <v>354</v>
      </c>
    </row>
    <row r="315" spans="1:8" x14ac:dyDescent="0.25">
      <c r="A315">
        <v>342</v>
      </c>
      <c r="B315" t="s">
        <v>4857</v>
      </c>
      <c r="C315" t="s">
        <v>4858</v>
      </c>
      <c r="D315" t="s">
        <v>4859</v>
      </c>
      <c r="E315" t="s">
        <v>1062</v>
      </c>
      <c r="H315">
        <v>117</v>
      </c>
    </row>
    <row r="316" spans="1:8" x14ac:dyDescent="0.25">
      <c r="A316">
        <v>343</v>
      </c>
      <c r="B316" t="s">
        <v>3444</v>
      </c>
      <c r="C316" t="s">
        <v>3443</v>
      </c>
      <c r="D316" t="s">
        <v>3442</v>
      </c>
      <c r="E316" t="s">
        <v>3445</v>
      </c>
      <c r="H316">
        <v>456</v>
      </c>
    </row>
    <row r="317" spans="1:8" x14ac:dyDescent="0.25">
      <c r="A317">
        <v>344</v>
      </c>
      <c r="B317" t="s">
        <v>3778</v>
      </c>
      <c r="C317" t="s">
        <v>635</v>
      </c>
      <c r="D317" t="s">
        <v>3779</v>
      </c>
      <c r="E317" t="s">
        <v>109</v>
      </c>
      <c r="H317">
        <v>65</v>
      </c>
    </row>
    <row r="318" spans="1:8" x14ac:dyDescent="0.25">
      <c r="A318">
        <v>345</v>
      </c>
      <c r="B318" t="s">
        <v>4864</v>
      </c>
      <c r="C318" t="s">
        <v>316</v>
      </c>
      <c r="D318" t="s">
        <v>4865</v>
      </c>
      <c r="E318" t="s">
        <v>88</v>
      </c>
      <c r="H318">
        <v>239</v>
      </c>
    </row>
    <row r="319" spans="1:8" x14ac:dyDescent="0.25">
      <c r="A319">
        <v>346</v>
      </c>
      <c r="B319" t="s">
        <v>3618</v>
      </c>
      <c r="C319" t="s">
        <v>3420</v>
      </c>
      <c r="D319" t="s">
        <v>3617</v>
      </c>
      <c r="E319" t="s">
        <v>2731</v>
      </c>
      <c r="H319">
        <v>126</v>
      </c>
    </row>
    <row r="320" spans="1:8" x14ac:dyDescent="0.25">
      <c r="A320">
        <v>347</v>
      </c>
      <c r="B320" t="s">
        <v>3360</v>
      </c>
      <c r="C320" t="s">
        <v>599</v>
      </c>
      <c r="D320" t="s">
        <v>3359</v>
      </c>
      <c r="E320" t="s">
        <v>12</v>
      </c>
      <c r="H320">
        <v>485</v>
      </c>
    </row>
    <row r="321" spans="1:8" x14ac:dyDescent="0.25">
      <c r="A321">
        <v>348</v>
      </c>
      <c r="B321" t="s">
        <v>3268</v>
      </c>
      <c r="C321" t="s">
        <v>921</v>
      </c>
      <c r="D321" t="s">
        <v>922</v>
      </c>
      <c r="E321" t="s">
        <v>921</v>
      </c>
      <c r="H321">
        <v>42</v>
      </c>
    </row>
    <row r="322" spans="1:8" x14ac:dyDescent="0.25">
      <c r="A322">
        <v>349</v>
      </c>
      <c r="B322" t="s">
        <v>3496</v>
      </c>
      <c r="C322" t="s">
        <v>133</v>
      </c>
      <c r="D322" t="s">
        <v>4319</v>
      </c>
      <c r="E322" t="s">
        <v>77</v>
      </c>
      <c r="H322">
        <v>16</v>
      </c>
    </row>
    <row r="323" spans="1:8" x14ac:dyDescent="0.25">
      <c r="A323">
        <v>350</v>
      </c>
      <c r="B323" t="s">
        <v>4942</v>
      </c>
      <c r="C323" t="s">
        <v>4213</v>
      </c>
      <c r="D323" t="s">
        <v>4943</v>
      </c>
      <c r="E323" t="s">
        <v>4944</v>
      </c>
      <c r="H323">
        <v>209</v>
      </c>
    </row>
    <row r="324" spans="1:8" x14ac:dyDescent="0.25">
      <c r="A324">
        <v>351</v>
      </c>
      <c r="B324" t="s">
        <v>4844</v>
      </c>
      <c r="C324" t="s">
        <v>43</v>
      </c>
      <c r="D324" t="s">
        <v>3619</v>
      </c>
      <c r="E324" t="s">
        <v>31</v>
      </c>
      <c r="H324">
        <v>403</v>
      </c>
    </row>
    <row r="325" spans="1:8" x14ac:dyDescent="0.25">
      <c r="A325">
        <v>353</v>
      </c>
      <c r="B325" t="s">
        <v>4837</v>
      </c>
      <c r="C325" t="s">
        <v>571</v>
      </c>
      <c r="D325" t="s">
        <v>4838</v>
      </c>
      <c r="E325" t="s">
        <v>4839</v>
      </c>
      <c r="H325">
        <v>34</v>
      </c>
    </row>
    <row r="326" spans="1:8" x14ac:dyDescent="0.25">
      <c r="A326">
        <v>354</v>
      </c>
      <c r="B326" t="s">
        <v>4854</v>
      </c>
      <c r="C326" t="s">
        <v>520</v>
      </c>
      <c r="D326" t="s">
        <v>4855</v>
      </c>
      <c r="E326" t="s">
        <v>88</v>
      </c>
      <c r="H326">
        <v>291</v>
      </c>
    </row>
    <row r="327" spans="1:8" x14ac:dyDescent="0.25">
      <c r="A327">
        <v>355</v>
      </c>
      <c r="B327" t="s">
        <v>3506</v>
      </c>
      <c r="C327" t="s">
        <v>3505</v>
      </c>
      <c r="D327" t="s">
        <v>3504</v>
      </c>
      <c r="E327" t="s">
        <v>1379</v>
      </c>
      <c r="H327">
        <v>152</v>
      </c>
    </row>
    <row r="328" spans="1:8" x14ac:dyDescent="0.25">
      <c r="A328">
        <v>356</v>
      </c>
      <c r="B328" t="s">
        <v>3738</v>
      </c>
      <c r="C328" t="s">
        <v>3245</v>
      </c>
      <c r="D328" t="s">
        <v>3739</v>
      </c>
      <c r="E328" t="s">
        <v>3069</v>
      </c>
      <c r="H328">
        <v>426</v>
      </c>
    </row>
    <row r="329" spans="1:8" x14ac:dyDescent="0.25">
      <c r="A329">
        <v>357</v>
      </c>
      <c r="B329" t="s">
        <v>3551</v>
      </c>
      <c r="C329" t="s">
        <v>3550</v>
      </c>
      <c r="D329" t="s">
        <v>3549</v>
      </c>
      <c r="E329" t="s">
        <v>3552</v>
      </c>
      <c r="H329">
        <v>334</v>
      </c>
    </row>
    <row r="330" spans="1:8" x14ac:dyDescent="0.25">
      <c r="A330">
        <v>358</v>
      </c>
      <c r="B330" t="s">
        <v>3559</v>
      </c>
      <c r="C330" t="s">
        <v>2730</v>
      </c>
      <c r="D330" t="s">
        <v>3558</v>
      </c>
      <c r="E330" t="s">
        <v>1921</v>
      </c>
      <c r="H330">
        <v>649</v>
      </c>
    </row>
    <row r="331" spans="1:8" x14ac:dyDescent="0.25">
      <c r="A331">
        <v>359</v>
      </c>
      <c r="B331" t="s">
        <v>3381</v>
      </c>
      <c r="C331" t="s">
        <v>567</v>
      </c>
      <c r="D331" t="s">
        <v>3380</v>
      </c>
      <c r="E331" t="s">
        <v>12</v>
      </c>
      <c r="H331">
        <v>424</v>
      </c>
    </row>
    <row r="332" spans="1:8" x14ac:dyDescent="0.25">
      <c r="A332">
        <v>360</v>
      </c>
      <c r="B332" t="s">
        <v>3548</v>
      </c>
      <c r="C332" t="s">
        <v>855</v>
      </c>
      <c r="D332" t="s">
        <v>3547</v>
      </c>
      <c r="E332" t="s">
        <v>2588</v>
      </c>
      <c r="H332">
        <v>798</v>
      </c>
    </row>
    <row r="333" spans="1:8" x14ac:dyDescent="0.25">
      <c r="A333">
        <v>361</v>
      </c>
      <c r="B333" t="s">
        <v>3516</v>
      </c>
      <c r="C333" t="s">
        <v>3515</v>
      </c>
      <c r="D333" t="s">
        <v>3514</v>
      </c>
      <c r="E333" t="s">
        <v>2731</v>
      </c>
      <c r="H333">
        <v>560</v>
      </c>
    </row>
    <row r="334" spans="1:8" x14ac:dyDescent="0.25">
      <c r="A334">
        <v>362</v>
      </c>
      <c r="B334" t="s">
        <v>3736</v>
      </c>
      <c r="C334" t="s">
        <v>3524</v>
      </c>
      <c r="D334" t="s">
        <v>3737</v>
      </c>
      <c r="E334" t="s">
        <v>24</v>
      </c>
      <c r="H334">
        <v>759</v>
      </c>
    </row>
    <row r="335" spans="1:8" x14ac:dyDescent="0.25">
      <c r="A335">
        <v>363</v>
      </c>
      <c r="B335" t="s">
        <v>3589</v>
      </c>
      <c r="C335" t="s">
        <v>780</v>
      </c>
      <c r="D335" t="s">
        <v>3588</v>
      </c>
      <c r="E335" t="s">
        <v>3590</v>
      </c>
      <c r="H335">
        <v>151</v>
      </c>
    </row>
    <row r="336" spans="1:8" x14ac:dyDescent="0.25">
      <c r="A336">
        <v>364</v>
      </c>
      <c r="B336" t="s">
        <v>3570</v>
      </c>
      <c r="C336" t="s">
        <v>3569</v>
      </c>
      <c r="D336" t="s">
        <v>3568</v>
      </c>
      <c r="E336" t="s">
        <v>2708</v>
      </c>
      <c r="H336">
        <v>795</v>
      </c>
    </row>
    <row r="337" spans="1:8" x14ac:dyDescent="0.25">
      <c r="A337">
        <v>365</v>
      </c>
      <c r="B337" t="s">
        <v>4828</v>
      </c>
      <c r="C337" t="s">
        <v>561</v>
      </c>
      <c r="D337" t="s">
        <v>4829</v>
      </c>
      <c r="E337" t="s">
        <v>561</v>
      </c>
      <c r="H337">
        <v>2</v>
      </c>
    </row>
    <row r="338" spans="1:8" x14ac:dyDescent="0.25">
      <c r="A338">
        <v>366</v>
      </c>
      <c r="B338" t="s">
        <v>4830</v>
      </c>
      <c r="C338" t="s">
        <v>4831</v>
      </c>
      <c r="D338" t="s">
        <v>4832</v>
      </c>
      <c r="E338" t="s">
        <v>4833</v>
      </c>
      <c r="H338">
        <v>2</v>
      </c>
    </row>
    <row r="339" spans="1:8" x14ac:dyDescent="0.25">
      <c r="A339">
        <v>367</v>
      </c>
      <c r="B339" t="s">
        <v>4945</v>
      </c>
      <c r="C339" t="s">
        <v>2590</v>
      </c>
      <c r="D339" t="s">
        <v>4946</v>
      </c>
      <c r="E339" t="s">
        <v>1379</v>
      </c>
      <c r="H339">
        <v>684</v>
      </c>
    </row>
    <row r="340" spans="1:8" x14ac:dyDescent="0.25">
      <c r="A340">
        <v>368</v>
      </c>
      <c r="B340" t="s">
        <v>3621</v>
      </c>
      <c r="C340" t="s">
        <v>1398</v>
      </c>
      <c r="D340" t="s">
        <v>3620</v>
      </c>
      <c r="E340" t="s">
        <v>1400</v>
      </c>
      <c r="H340">
        <v>191</v>
      </c>
    </row>
    <row r="341" spans="1:8" x14ac:dyDescent="0.25">
      <c r="A341">
        <v>369</v>
      </c>
      <c r="B341" t="s">
        <v>4875</v>
      </c>
      <c r="C341" t="s">
        <v>46</v>
      </c>
      <c r="D341" t="s">
        <v>4876</v>
      </c>
      <c r="E341" t="s">
        <v>12</v>
      </c>
      <c r="H341">
        <v>7</v>
      </c>
    </row>
    <row r="342" spans="1:8" x14ac:dyDescent="0.25">
      <c r="A342">
        <v>370</v>
      </c>
      <c r="B342" t="s">
        <v>3592</v>
      </c>
      <c r="C342" t="s">
        <v>3420</v>
      </c>
      <c r="D342" t="s">
        <v>3591</v>
      </c>
      <c r="E342" t="s">
        <v>341</v>
      </c>
      <c r="H342">
        <v>330</v>
      </c>
    </row>
    <row r="343" spans="1:8" x14ac:dyDescent="0.25">
      <c r="A343">
        <v>371</v>
      </c>
      <c r="B343" t="s">
        <v>4947</v>
      </c>
      <c r="C343" t="s">
        <v>561</v>
      </c>
      <c r="D343" t="s">
        <v>2926</v>
      </c>
      <c r="E343" t="s">
        <v>138</v>
      </c>
      <c r="H343">
        <v>88</v>
      </c>
    </row>
    <row r="344" spans="1:8" x14ac:dyDescent="0.25">
      <c r="A344">
        <v>372</v>
      </c>
      <c r="B344" t="s">
        <v>3215</v>
      </c>
      <c r="C344" t="s">
        <v>527</v>
      </c>
      <c r="D344" t="s">
        <v>73</v>
      </c>
      <c r="E344" t="s">
        <v>20</v>
      </c>
      <c r="H344">
        <v>29</v>
      </c>
    </row>
    <row r="345" spans="1:8" x14ac:dyDescent="0.25">
      <c r="A345">
        <v>373</v>
      </c>
      <c r="B345" t="s">
        <v>3200</v>
      </c>
      <c r="C345" t="s">
        <v>3199</v>
      </c>
      <c r="D345" t="s">
        <v>3198</v>
      </c>
      <c r="E345" t="s">
        <v>3201</v>
      </c>
      <c r="H345">
        <v>16</v>
      </c>
    </row>
    <row r="346" spans="1:8" x14ac:dyDescent="0.25">
      <c r="A346">
        <v>374</v>
      </c>
      <c r="B346" t="s">
        <v>4948</v>
      </c>
      <c r="C346" t="s">
        <v>3406</v>
      </c>
      <c r="D346" t="s">
        <v>4949</v>
      </c>
      <c r="E346" t="s">
        <v>24</v>
      </c>
      <c r="H346">
        <v>145</v>
      </c>
    </row>
    <row r="347" spans="1:8" x14ac:dyDescent="0.25">
      <c r="A347">
        <v>375</v>
      </c>
      <c r="B347" t="s">
        <v>3802</v>
      </c>
      <c r="C347" t="s">
        <v>3803</v>
      </c>
      <c r="D347" t="s">
        <v>3804</v>
      </c>
      <c r="E347" t="s">
        <v>1124</v>
      </c>
      <c r="H347">
        <v>602</v>
      </c>
    </row>
    <row r="348" spans="1:8" x14ac:dyDescent="0.25">
      <c r="A348">
        <v>376</v>
      </c>
      <c r="B348" t="s">
        <v>4950</v>
      </c>
      <c r="C348" t="s">
        <v>607</v>
      </c>
      <c r="D348" t="s">
        <v>4951</v>
      </c>
      <c r="E348" t="s">
        <v>88</v>
      </c>
      <c r="H348">
        <v>15</v>
      </c>
    </row>
    <row r="349" spans="1:8" x14ac:dyDescent="0.25">
      <c r="A349">
        <v>377</v>
      </c>
      <c r="B349" t="s">
        <v>4860</v>
      </c>
      <c r="C349" t="s">
        <v>750</v>
      </c>
      <c r="D349" t="s">
        <v>4861</v>
      </c>
      <c r="E349" t="s">
        <v>4862</v>
      </c>
      <c r="H349">
        <v>5</v>
      </c>
    </row>
    <row r="350" spans="1:8" x14ac:dyDescent="0.25">
      <c r="A350">
        <v>378</v>
      </c>
      <c r="B350" t="s">
        <v>4952</v>
      </c>
      <c r="C350" t="s">
        <v>415</v>
      </c>
      <c r="D350" t="s">
        <v>4953</v>
      </c>
      <c r="E350" t="s">
        <v>24</v>
      </c>
      <c r="H350">
        <v>670</v>
      </c>
    </row>
    <row r="351" spans="1:8" x14ac:dyDescent="0.25">
      <c r="A351">
        <v>379</v>
      </c>
      <c r="B351" t="s">
        <v>3888</v>
      </c>
      <c r="C351" t="s">
        <v>3335</v>
      </c>
      <c r="D351" t="s">
        <v>3889</v>
      </c>
      <c r="E351" t="s">
        <v>3890</v>
      </c>
      <c r="H351">
        <v>27</v>
      </c>
    </row>
    <row r="352" spans="1:8" x14ac:dyDescent="0.25">
      <c r="A352">
        <v>380</v>
      </c>
      <c r="B352" t="s">
        <v>4954</v>
      </c>
      <c r="C352" t="s">
        <v>4955</v>
      </c>
      <c r="D352" t="s">
        <v>4956</v>
      </c>
      <c r="E352" t="s">
        <v>4957</v>
      </c>
      <c r="H352">
        <v>62</v>
      </c>
    </row>
    <row r="353" spans="1:8" x14ac:dyDescent="0.25">
      <c r="A353">
        <v>381</v>
      </c>
      <c r="B353" t="s">
        <v>4845</v>
      </c>
      <c r="C353" t="s">
        <v>4846</v>
      </c>
      <c r="D353" t="s">
        <v>4847</v>
      </c>
      <c r="E353" t="s">
        <v>12</v>
      </c>
      <c r="H353">
        <v>34</v>
      </c>
    </row>
    <row r="354" spans="1:8" x14ac:dyDescent="0.25">
      <c r="A354">
        <v>382</v>
      </c>
      <c r="B354" t="s">
        <v>4879</v>
      </c>
      <c r="C354" t="s">
        <v>733</v>
      </c>
      <c r="D354" t="s">
        <v>4880</v>
      </c>
      <c r="E354" t="s">
        <v>24</v>
      </c>
      <c r="H354">
        <v>147</v>
      </c>
    </row>
    <row r="355" spans="1:8" x14ac:dyDescent="0.25">
      <c r="A355">
        <v>383</v>
      </c>
      <c r="B355" t="s">
        <v>4867</v>
      </c>
      <c r="C355" t="s">
        <v>4868</v>
      </c>
      <c r="D355" t="s">
        <v>4869</v>
      </c>
      <c r="E355" t="s">
        <v>3255</v>
      </c>
      <c r="H355">
        <v>174</v>
      </c>
    </row>
    <row r="356" spans="1:8" x14ac:dyDescent="0.25">
      <c r="A356">
        <v>384</v>
      </c>
      <c r="B356" t="s">
        <v>3758</v>
      </c>
      <c r="C356" t="s">
        <v>363</v>
      </c>
      <c r="D356" t="s">
        <v>3759</v>
      </c>
      <c r="E356" t="s">
        <v>131</v>
      </c>
      <c r="H356">
        <v>115</v>
      </c>
    </row>
    <row r="357" spans="1:8" x14ac:dyDescent="0.25">
      <c r="A357">
        <v>385</v>
      </c>
      <c r="B357" t="s">
        <v>3545</v>
      </c>
      <c r="C357" t="s">
        <v>3335</v>
      </c>
      <c r="D357" t="s">
        <v>3544</v>
      </c>
      <c r="E357" t="s">
        <v>3255</v>
      </c>
      <c r="H357">
        <v>186</v>
      </c>
    </row>
    <row r="358" spans="1:8" x14ac:dyDescent="0.25">
      <c r="A358">
        <v>386</v>
      </c>
      <c r="B358" t="s">
        <v>3521</v>
      </c>
      <c r="C358" t="s">
        <v>921</v>
      </c>
      <c r="D358" t="s">
        <v>3520</v>
      </c>
      <c r="E358" t="s">
        <v>3522</v>
      </c>
      <c r="H358">
        <v>1069</v>
      </c>
    </row>
    <row r="359" spans="1:8" x14ac:dyDescent="0.25">
      <c r="A359">
        <v>387</v>
      </c>
      <c r="B359" t="s">
        <v>4958</v>
      </c>
      <c r="C359" t="s">
        <v>4959</v>
      </c>
      <c r="D359" t="s">
        <v>4960</v>
      </c>
      <c r="E359" t="s">
        <v>4961</v>
      </c>
      <c r="H359">
        <v>266</v>
      </c>
    </row>
    <row r="360" spans="1:8" x14ac:dyDescent="0.25">
      <c r="A360">
        <v>388</v>
      </c>
      <c r="B360" t="s">
        <v>3379</v>
      </c>
      <c r="C360" t="s">
        <v>3333</v>
      </c>
      <c r="D360" t="s">
        <v>3378</v>
      </c>
      <c r="E360" t="s">
        <v>3333</v>
      </c>
      <c r="H360">
        <v>287</v>
      </c>
    </row>
    <row r="361" spans="1:8" x14ac:dyDescent="0.25">
      <c r="A361">
        <v>389</v>
      </c>
      <c r="B361" t="s">
        <v>3577</v>
      </c>
      <c r="C361" t="s">
        <v>822</v>
      </c>
      <c r="D361" t="s">
        <v>3576</v>
      </c>
      <c r="E361" t="s">
        <v>341</v>
      </c>
      <c r="H361">
        <v>487</v>
      </c>
    </row>
    <row r="362" spans="1:8" x14ac:dyDescent="0.25">
      <c r="A362">
        <v>390</v>
      </c>
      <c r="B362" t="s">
        <v>4842</v>
      </c>
      <c r="C362" t="s">
        <v>3895</v>
      </c>
      <c r="D362" t="s">
        <v>4843</v>
      </c>
      <c r="E362" t="s">
        <v>370</v>
      </c>
      <c r="H362">
        <v>216</v>
      </c>
    </row>
    <row r="363" spans="1:8" x14ac:dyDescent="0.25">
      <c r="A363">
        <v>391</v>
      </c>
      <c r="B363" t="s">
        <v>3610</v>
      </c>
      <c r="C363" t="s">
        <v>3609</v>
      </c>
      <c r="D363" t="s">
        <v>3608</v>
      </c>
      <c r="E363" t="s">
        <v>24</v>
      </c>
      <c r="H363">
        <v>438</v>
      </c>
    </row>
    <row r="364" spans="1:8" x14ac:dyDescent="0.25">
      <c r="A364">
        <v>392</v>
      </c>
      <c r="B364" t="s">
        <v>4962</v>
      </c>
      <c r="C364" t="s">
        <v>3505</v>
      </c>
      <c r="D364" t="s">
        <v>4963</v>
      </c>
      <c r="E364" t="s">
        <v>2731</v>
      </c>
      <c r="H364">
        <v>73</v>
      </c>
    </row>
    <row r="365" spans="1:8" x14ac:dyDescent="0.25">
      <c r="A365">
        <v>394</v>
      </c>
      <c r="B365" t="s">
        <v>3780</v>
      </c>
      <c r="C365" t="s">
        <v>164</v>
      </c>
      <c r="D365" t="s">
        <v>2985</v>
      </c>
      <c r="E365" t="s">
        <v>2986</v>
      </c>
      <c r="H365">
        <v>177</v>
      </c>
    </row>
    <row r="366" spans="1:8" x14ac:dyDescent="0.25">
      <c r="A366">
        <v>395</v>
      </c>
      <c r="B366" t="s">
        <v>4964</v>
      </c>
      <c r="C366" t="s">
        <v>3702</v>
      </c>
      <c r="D366" t="s">
        <v>4965</v>
      </c>
      <c r="E366" t="s">
        <v>3702</v>
      </c>
      <c r="H366">
        <v>1</v>
      </c>
    </row>
    <row r="367" spans="1:8" x14ac:dyDescent="0.25">
      <c r="A367">
        <v>396</v>
      </c>
      <c r="B367" t="s">
        <v>3760</v>
      </c>
      <c r="C367" t="s">
        <v>3761</v>
      </c>
      <c r="D367" t="s">
        <v>3762</v>
      </c>
      <c r="E367" t="s">
        <v>12</v>
      </c>
      <c r="H367">
        <v>413</v>
      </c>
    </row>
    <row r="368" spans="1:8" x14ac:dyDescent="0.25">
      <c r="A368">
        <v>397</v>
      </c>
      <c r="B368" t="s">
        <v>4877</v>
      </c>
      <c r="C368" t="s">
        <v>673</v>
      </c>
      <c r="D368" t="s">
        <v>4878</v>
      </c>
      <c r="E368" t="s">
        <v>31</v>
      </c>
      <c r="H368">
        <v>63</v>
      </c>
    </row>
    <row r="369" spans="1:8" x14ac:dyDescent="0.25">
      <c r="A369">
        <v>398</v>
      </c>
      <c r="B369" t="s">
        <v>3499</v>
      </c>
      <c r="C369" t="s">
        <v>790</v>
      </c>
      <c r="D369" t="s">
        <v>3498</v>
      </c>
      <c r="E369" t="s">
        <v>3325</v>
      </c>
      <c r="H369">
        <v>1442</v>
      </c>
    </row>
    <row r="370" spans="1:8" x14ac:dyDescent="0.25">
      <c r="A370">
        <v>399</v>
      </c>
      <c r="B370" t="s">
        <v>4848</v>
      </c>
      <c r="C370" t="s">
        <v>43</v>
      </c>
      <c r="D370" t="s">
        <v>4849</v>
      </c>
      <c r="E370" t="s">
        <v>67</v>
      </c>
      <c r="H370">
        <v>8</v>
      </c>
    </row>
    <row r="371" spans="1:8" x14ac:dyDescent="0.25">
      <c r="A371">
        <v>401</v>
      </c>
      <c r="B371" t="s">
        <v>3594</v>
      </c>
      <c r="C371" t="s">
        <v>3447</v>
      </c>
      <c r="D371" t="s">
        <v>3593</v>
      </c>
      <c r="E371" t="s">
        <v>2708</v>
      </c>
      <c r="H371">
        <v>311</v>
      </c>
    </row>
    <row r="372" spans="1:8" x14ac:dyDescent="0.25">
      <c r="A372">
        <v>402</v>
      </c>
      <c r="B372" t="s">
        <v>3744</v>
      </c>
      <c r="C372" t="s">
        <v>652</v>
      </c>
      <c r="D372" t="s">
        <v>3745</v>
      </c>
      <c r="E372" t="s">
        <v>2681</v>
      </c>
      <c r="H372">
        <v>117</v>
      </c>
    </row>
    <row r="373" spans="1:8" x14ac:dyDescent="0.25">
      <c r="A373">
        <v>403</v>
      </c>
      <c r="B373" t="s">
        <v>3090</v>
      </c>
      <c r="C373" t="s">
        <v>3089</v>
      </c>
      <c r="D373" t="s">
        <v>3088</v>
      </c>
      <c r="E373" t="s">
        <v>24</v>
      </c>
      <c r="H373">
        <v>16</v>
      </c>
    </row>
    <row r="374" spans="1:8" x14ac:dyDescent="0.25">
      <c r="A374">
        <v>404</v>
      </c>
      <c r="B374" t="s">
        <v>4885</v>
      </c>
      <c r="C374" t="s">
        <v>93</v>
      </c>
      <c r="D374" t="s">
        <v>214</v>
      </c>
      <c r="E374" t="s">
        <v>24</v>
      </c>
      <c r="H374">
        <v>2</v>
      </c>
    </row>
    <row r="375" spans="1:8" x14ac:dyDescent="0.25">
      <c r="A375">
        <v>405</v>
      </c>
      <c r="B375" t="s">
        <v>4966</v>
      </c>
      <c r="C375" t="s">
        <v>743</v>
      </c>
      <c r="D375" t="s">
        <v>4967</v>
      </c>
      <c r="E375" t="s">
        <v>12</v>
      </c>
      <c r="H375">
        <v>10</v>
      </c>
    </row>
    <row r="376" spans="1:8" x14ac:dyDescent="0.25">
      <c r="A376">
        <v>406</v>
      </c>
      <c r="B376" t="s">
        <v>4850</v>
      </c>
      <c r="C376" t="s">
        <v>4851</v>
      </c>
      <c r="D376" t="s">
        <v>4852</v>
      </c>
      <c r="E376" t="s">
        <v>4853</v>
      </c>
      <c r="H376">
        <v>185</v>
      </c>
    </row>
    <row r="377" spans="1:8" x14ac:dyDescent="0.25">
      <c r="A377">
        <v>407</v>
      </c>
      <c r="B377" t="s">
        <v>4968</v>
      </c>
      <c r="C377" t="s">
        <v>22</v>
      </c>
      <c r="D377" t="s">
        <v>4969</v>
      </c>
      <c r="E377" t="s">
        <v>24</v>
      </c>
      <c r="H377">
        <v>359</v>
      </c>
    </row>
    <row r="378" spans="1:8" x14ac:dyDescent="0.25">
      <c r="A378">
        <v>409</v>
      </c>
      <c r="B378" t="s">
        <v>3787</v>
      </c>
      <c r="C378" t="s">
        <v>3415</v>
      </c>
      <c r="D378" t="s">
        <v>4813</v>
      </c>
      <c r="E378" t="s">
        <v>3788</v>
      </c>
      <c r="H378">
        <v>320</v>
      </c>
    </row>
    <row r="379" spans="1:8" x14ac:dyDescent="0.25">
      <c r="A379">
        <v>410</v>
      </c>
      <c r="B379" t="s">
        <v>4866</v>
      </c>
      <c r="C379" t="s">
        <v>36</v>
      </c>
      <c r="D379" t="s">
        <v>355</v>
      </c>
      <c r="E379" t="s">
        <v>12</v>
      </c>
      <c r="H379">
        <v>29</v>
      </c>
    </row>
    <row r="380" spans="1:8" x14ac:dyDescent="0.25">
      <c r="A380">
        <v>411</v>
      </c>
      <c r="B380" t="s">
        <v>4970</v>
      </c>
      <c r="C380" t="s">
        <v>607</v>
      </c>
      <c r="D380" t="s">
        <v>4971</v>
      </c>
      <c r="E380" t="s">
        <v>1379</v>
      </c>
      <c r="H380">
        <v>116</v>
      </c>
    </row>
    <row r="381" spans="1:8" x14ac:dyDescent="0.25">
      <c r="A381">
        <v>412</v>
      </c>
      <c r="B381" t="s">
        <v>4872</v>
      </c>
      <c r="C381" t="s">
        <v>316</v>
      </c>
      <c r="D381" t="s">
        <v>241</v>
      </c>
      <c r="E381" t="s">
        <v>88</v>
      </c>
      <c r="H381">
        <v>40</v>
      </c>
    </row>
    <row r="382" spans="1:8" x14ac:dyDescent="0.25">
      <c r="A382">
        <v>413</v>
      </c>
      <c r="B382" t="s">
        <v>4972</v>
      </c>
      <c r="C382" t="s">
        <v>46</v>
      </c>
      <c r="D382" t="s">
        <v>4973</v>
      </c>
      <c r="E382" t="s">
        <v>12</v>
      </c>
      <c r="H382">
        <v>855</v>
      </c>
    </row>
    <row r="383" spans="1:8" x14ac:dyDescent="0.25">
      <c r="A383">
        <v>414</v>
      </c>
      <c r="B383" t="s">
        <v>3563</v>
      </c>
      <c r="C383" t="s">
        <v>3245</v>
      </c>
      <c r="D383" t="s">
        <v>3562</v>
      </c>
      <c r="E383" t="s">
        <v>3069</v>
      </c>
      <c r="H383">
        <v>78</v>
      </c>
    </row>
    <row r="384" spans="1:8" x14ac:dyDescent="0.25">
      <c r="A384">
        <v>415</v>
      </c>
      <c r="B384" t="s">
        <v>3883</v>
      </c>
      <c r="C384" t="s">
        <v>3884</v>
      </c>
      <c r="D384" t="s">
        <v>3885</v>
      </c>
      <c r="E384" t="s">
        <v>3884</v>
      </c>
      <c r="H384">
        <v>230</v>
      </c>
    </row>
    <row r="385" spans="1:8" x14ac:dyDescent="0.25">
      <c r="A385">
        <v>416</v>
      </c>
      <c r="B385" t="s">
        <v>3365</v>
      </c>
      <c r="C385" t="s">
        <v>298</v>
      </c>
      <c r="D385" t="s">
        <v>3364</v>
      </c>
      <c r="E385" t="s">
        <v>67</v>
      </c>
      <c r="H385">
        <v>356</v>
      </c>
    </row>
    <row r="386" spans="1:8" x14ac:dyDescent="0.25">
      <c r="A386">
        <v>417</v>
      </c>
      <c r="B386" t="s">
        <v>3462</v>
      </c>
      <c r="C386" t="s">
        <v>245</v>
      </c>
      <c r="D386" t="s">
        <v>244</v>
      </c>
      <c r="E386" t="s">
        <v>245</v>
      </c>
      <c r="H386">
        <v>300</v>
      </c>
    </row>
    <row r="387" spans="1:8" x14ac:dyDescent="0.25">
      <c r="A387">
        <v>418</v>
      </c>
      <c r="B387" t="s">
        <v>4974</v>
      </c>
      <c r="C387" t="s">
        <v>743</v>
      </c>
      <c r="D387" t="s">
        <v>4975</v>
      </c>
      <c r="E387" t="s">
        <v>2697</v>
      </c>
      <c r="H387">
        <v>148</v>
      </c>
    </row>
    <row r="388" spans="1:8" x14ac:dyDescent="0.25">
      <c r="A388">
        <v>420</v>
      </c>
      <c r="B388" t="s">
        <v>3785</v>
      </c>
      <c r="C388" t="s">
        <v>3734</v>
      </c>
      <c r="D388" t="s">
        <v>3786</v>
      </c>
      <c r="E388" t="s">
        <v>67</v>
      </c>
      <c r="H388">
        <v>146</v>
      </c>
    </row>
    <row r="389" spans="1:8" x14ac:dyDescent="0.25">
      <c r="A389">
        <v>421</v>
      </c>
      <c r="B389" t="s">
        <v>3748</v>
      </c>
      <c r="C389" t="s">
        <v>3749</v>
      </c>
      <c r="D389" t="s">
        <v>3750</v>
      </c>
      <c r="E389" t="s">
        <v>3751</v>
      </c>
      <c r="H389">
        <v>52</v>
      </c>
    </row>
    <row r="390" spans="1:8" x14ac:dyDescent="0.25">
      <c r="A390">
        <v>422</v>
      </c>
      <c r="B390" t="s">
        <v>4976</v>
      </c>
      <c r="C390" t="s">
        <v>853</v>
      </c>
      <c r="D390" t="s">
        <v>4977</v>
      </c>
      <c r="E390" t="s">
        <v>88</v>
      </c>
      <c r="H390">
        <v>38</v>
      </c>
    </row>
    <row r="391" spans="1:8" x14ac:dyDescent="0.25">
      <c r="A391">
        <v>423</v>
      </c>
      <c r="B391" t="s">
        <v>3742</v>
      </c>
      <c r="C391" t="s">
        <v>363</v>
      </c>
      <c r="D391" t="s">
        <v>3743</v>
      </c>
      <c r="E391" t="s">
        <v>131</v>
      </c>
      <c r="H391">
        <v>259</v>
      </c>
    </row>
    <row r="392" spans="1:8" x14ac:dyDescent="0.25">
      <c r="A392">
        <v>424</v>
      </c>
      <c r="B392" t="s">
        <v>3163</v>
      </c>
      <c r="C392" t="s">
        <v>3033</v>
      </c>
      <c r="D392" t="s">
        <v>3162</v>
      </c>
      <c r="E392" t="s">
        <v>131</v>
      </c>
      <c r="H392">
        <v>30</v>
      </c>
    </row>
    <row r="393" spans="1:8" x14ac:dyDescent="0.25">
      <c r="A393">
        <v>425</v>
      </c>
      <c r="B393" t="s">
        <v>3536</v>
      </c>
      <c r="C393" t="s">
        <v>3535</v>
      </c>
      <c r="D393" t="s">
        <v>3534</v>
      </c>
      <c r="E393" t="s">
        <v>88</v>
      </c>
      <c r="H393">
        <v>785</v>
      </c>
    </row>
    <row r="394" spans="1:8" x14ac:dyDescent="0.25">
      <c r="A394">
        <v>426</v>
      </c>
      <c r="B394" t="s">
        <v>3486</v>
      </c>
      <c r="C394" t="s">
        <v>3485</v>
      </c>
      <c r="D394" t="s">
        <v>3484</v>
      </c>
      <c r="E394" t="s">
        <v>2708</v>
      </c>
      <c r="H394">
        <v>1433</v>
      </c>
    </row>
    <row r="395" spans="1:8" x14ac:dyDescent="0.25">
      <c r="A395">
        <v>427</v>
      </c>
      <c r="B395" t="s">
        <v>4863</v>
      </c>
      <c r="C395" t="s">
        <v>43</v>
      </c>
      <c r="D395" t="s">
        <v>121</v>
      </c>
      <c r="E395" t="s">
        <v>31</v>
      </c>
      <c r="H395">
        <v>287</v>
      </c>
    </row>
    <row r="396" spans="1:8" x14ac:dyDescent="0.25">
      <c r="A396">
        <v>428</v>
      </c>
      <c r="B396" t="s">
        <v>3477</v>
      </c>
      <c r="C396" t="s">
        <v>3476</v>
      </c>
      <c r="D396" t="s">
        <v>3475</v>
      </c>
      <c r="E396" t="s">
        <v>3137</v>
      </c>
      <c r="H396">
        <v>1066</v>
      </c>
    </row>
    <row r="397" spans="1:8" x14ac:dyDescent="0.25">
      <c r="A397">
        <v>430</v>
      </c>
      <c r="B397" t="s">
        <v>3305</v>
      </c>
      <c r="C397" t="s">
        <v>599</v>
      </c>
      <c r="D397" t="s">
        <v>1096</v>
      </c>
      <c r="E397" t="s">
        <v>12</v>
      </c>
      <c r="H397">
        <v>30</v>
      </c>
    </row>
    <row r="398" spans="1:8" x14ac:dyDescent="0.25">
      <c r="A398">
        <v>431</v>
      </c>
      <c r="B398" t="s">
        <v>3776</v>
      </c>
      <c r="C398" t="s">
        <v>419</v>
      </c>
      <c r="D398" t="s">
        <v>3777</v>
      </c>
      <c r="E398" t="s">
        <v>3069</v>
      </c>
      <c r="H398">
        <v>184</v>
      </c>
    </row>
    <row r="399" spans="1:8" x14ac:dyDescent="0.25">
      <c r="A399">
        <v>432</v>
      </c>
      <c r="B399" t="s">
        <v>3561</v>
      </c>
      <c r="C399" t="s">
        <v>298</v>
      </c>
      <c r="D399" t="s">
        <v>3560</v>
      </c>
      <c r="E399" t="s">
        <v>3255</v>
      </c>
      <c r="H399">
        <v>437</v>
      </c>
    </row>
    <row r="400" spans="1:8" x14ac:dyDescent="0.25">
      <c r="A400">
        <v>433</v>
      </c>
      <c r="B400" t="s">
        <v>4978</v>
      </c>
      <c r="C400" t="s">
        <v>33</v>
      </c>
      <c r="D400" t="s">
        <v>4979</v>
      </c>
      <c r="E400" t="s">
        <v>12</v>
      </c>
      <c r="H400">
        <v>116</v>
      </c>
    </row>
    <row r="401" spans="1:8" x14ac:dyDescent="0.25">
      <c r="A401">
        <v>434</v>
      </c>
      <c r="B401" t="s">
        <v>4883</v>
      </c>
      <c r="C401" t="s">
        <v>552</v>
      </c>
      <c r="D401" t="s">
        <v>4884</v>
      </c>
      <c r="E401" t="s">
        <v>12</v>
      </c>
      <c r="H401">
        <v>1050</v>
      </c>
    </row>
    <row r="402" spans="1:8" x14ac:dyDescent="0.25">
      <c r="A402">
        <v>435</v>
      </c>
      <c r="B402" t="s">
        <v>3587</v>
      </c>
      <c r="C402" t="s">
        <v>3502</v>
      </c>
      <c r="D402" t="s">
        <v>3586</v>
      </c>
      <c r="E402" t="s">
        <v>3151</v>
      </c>
      <c r="H402">
        <v>223</v>
      </c>
    </row>
    <row r="403" spans="1:8" x14ac:dyDescent="0.25">
      <c r="A403">
        <v>436</v>
      </c>
      <c r="B403" t="s">
        <v>4980</v>
      </c>
      <c r="C403" t="s">
        <v>3420</v>
      </c>
      <c r="D403" t="s">
        <v>4981</v>
      </c>
      <c r="E403" t="s">
        <v>376</v>
      </c>
      <c r="H403">
        <v>436</v>
      </c>
    </row>
    <row r="404" spans="1:8" x14ac:dyDescent="0.25">
      <c r="A404">
        <v>437</v>
      </c>
      <c r="B404" t="s">
        <v>4982</v>
      </c>
      <c r="C404" t="s">
        <v>822</v>
      </c>
      <c r="D404" t="s">
        <v>4983</v>
      </c>
      <c r="E404" t="s">
        <v>376</v>
      </c>
      <c r="H404">
        <v>98</v>
      </c>
    </row>
    <row r="405" spans="1:8" x14ac:dyDescent="0.25">
      <c r="A405">
        <v>438</v>
      </c>
      <c r="B405" t="s">
        <v>3459</v>
      </c>
      <c r="C405" t="s">
        <v>363</v>
      </c>
      <c r="D405" t="s">
        <v>3458</v>
      </c>
      <c r="E405" t="s">
        <v>131</v>
      </c>
      <c r="H405">
        <v>344</v>
      </c>
    </row>
    <row r="406" spans="1:8" x14ac:dyDescent="0.25">
      <c r="A406">
        <v>439</v>
      </c>
      <c r="B406" t="s">
        <v>3546</v>
      </c>
      <c r="C406" t="s">
        <v>335</v>
      </c>
      <c r="D406" t="s">
        <v>336</v>
      </c>
      <c r="E406" t="s">
        <v>268</v>
      </c>
      <c r="H406">
        <v>240</v>
      </c>
    </row>
    <row r="407" spans="1:8" x14ac:dyDescent="0.25">
      <c r="A407">
        <v>440</v>
      </c>
      <c r="B407" t="s">
        <v>3533</v>
      </c>
      <c r="C407" t="s">
        <v>3482</v>
      </c>
      <c r="D407" t="s">
        <v>3532</v>
      </c>
      <c r="E407" t="s">
        <v>24</v>
      </c>
      <c r="H407">
        <v>531</v>
      </c>
    </row>
    <row r="408" spans="1:8" x14ac:dyDescent="0.25">
      <c r="A408">
        <v>441</v>
      </c>
      <c r="B408" t="s">
        <v>3573</v>
      </c>
      <c r="C408" t="s">
        <v>863</v>
      </c>
      <c r="D408" t="s">
        <v>1356</v>
      </c>
      <c r="E408" t="s">
        <v>1329</v>
      </c>
      <c r="H408">
        <v>1244</v>
      </c>
    </row>
    <row r="409" spans="1:8" x14ac:dyDescent="0.25">
      <c r="A409">
        <v>442</v>
      </c>
      <c r="B409" t="s">
        <v>3413</v>
      </c>
      <c r="C409" t="s">
        <v>822</v>
      </c>
      <c r="D409" t="s">
        <v>3412</v>
      </c>
      <c r="E409" t="s">
        <v>341</v>
      </c>
      <c r="H409">
        <v>1071</v>
      </c>
    </row>
    <row r="410" spans="1:8" x14ac:dyDescent="0.25">
      <c r="A410">
        <v>443</v>
      </c>
      <c r="B410" t="s">
        <v>3769</v>
      </c>
      <c r="C410" t="s">
        <v>3749</v>
      </c>
      <c r="D410" t="s">
        <v>3770</v>
      </c>
      <c r="E410" t="s">
        <v>3749</v>
      </c>
      <c r="H410">
        <v>857</v>
      </c>
    </row>
    <row r="411" spans="1:8" x14ac:dyDescent="0.25">
      <c r="A411">
        <v>444</v>
      </c>
      <c r="B411" t="s">
        <v>4984</v>
      </c>
      <c r="C411" t="s">
        <v>3406</v>
      </c>
      <c r="D411" t="s">
        <v>4985</v>
      </c>
      <c r="E411" t="s">
        <v>12</v>
      </c>
      <c r="H411">
        <v>284</v>
      </c>
    </row>
    <row r="412" spans="1:8" x14ac:dyDescent="0.25">
      <c r="A412">
        <v>445</v>
      </c>
      <c r="B412" t="s">
        <v>4986</v>
      </c>
      <c r="C412" t="s">
        <v>3800</v>
      </c>
      <c r="D412" t="s">
        <v>4987</v>
      </c>
      <c r="E412" t="s">
        <v>12</v>
      </c>
      <c r="H412">
        <v>123</v>
      </c>
    </row>
    <row r="413" spans="1:8" x14ac:dyDescent="0.25">
      <c r="A413">
        <v>446</v>
      </c>
      <c r="B413" t="s">
        <v>4988</v>
      </c>
      <c r="C413" t="s">
        <v>3333</v>
      </c>
      <c r="D413" t="s">
        <v>4989</v>
      </c>
      <c r="E413" t="s">
        <v>3333</v>
      </c>
      <c r="H413">
        <v>236</v>
      </c>
    </row>
    <row r="414" spans="1:8" x14ac:dyDescent="0.25">
      <c r="A414">
        <v>447</v>
      </c>
      <c r="B414" t="s">
        <v>4990</v>
      </c>
      <c r="C414" t="s">
        <v>567</v>
      </c>
      <c r="D414" t="s">
        <v>4991</v>
      </c>
      <c r="E414" t="s">
        <v>24</v>
      </c>
      <c r="H414">
        <v>619</v>
      </c>
    </row>
    <row r="415" spans="1:8" x14ac:dyDescent="0.25">
      <c r="A415">
        <v>448</v>
      </c>
      <c r="B415" t="s">
        <v>4992</v>
      </c>
      <c r="C415" t="s">
        <v>4311</v>
      </c>
      <c r="D415" t="s">
        <v>4312</v>
      </c>
      <c r="E415" t="s">
        <v>12</v>
      </c>
      <c r="H415">
        <v>24</v>
      </c>
    </row>
    <row r="416" spans="1:8" x14ac:dyDescent="0.25">
      <c r="A416">
        <v>449</v>
      </c>
      <c r="B416" t="s">
        <v>4881</v>
      </c>
      <c r="C416" t="s">
        <v>650</v>
      </c>
      <c r="D416" t="s">
        <v>4882</v>
      </c>
      <c r="E416" t="s">
        <v>353</v>
      </c>
      <c r="H416">
        <v>363</v>
      </c>
    </row>
    <row r="417" spans="1:8" x14ac:dyDescent="0.25">
      <c r="A417">
        <v>450</v>
      </c>
      <c r="B417" t="s">
        <v>3296</v>
      </c>
      <c r="C417" t="s">
        <v>2989</v>
      </c>
      <c r="D417" t="s">
        <v>3295</v>
      </c>
      <c r="E417" t="s">
        <v>2989</v>
      </c>
      <c r="H417">
        <v>33</v>
      </c>
    </row>
    <row r="418" spans="1:8" x14ac:dyDescent="0.25">
      <c r="A418">
        <v>451</v>
      </c>
      <c r="B418" t="s">
        <v>3557</v>
      </c>
      <c r="C418" t="s">
        <v>2408</v>
      </c>
      <c r="D418" t="s">
        <v>3556</v>
      </c>
      <c r="E418" t="s">
        <v>2731</v>
      </c>
      <c r="H418">
        <v>118</v>
      </c>
    </row>
    <row r="419" spans="1:8" x14ac:dyDescent="0.25">
      <c r="A419">
        <v>452</v>
      </c>
      <c r="B419" t="s">
        <v>3623</v>
      </c>
      <c r="C419" t="s">
        <v>2989</v>
      </c>
      <c r="D419" t="s">
        <v>1035</v>
      </c>
      <c r="E419" t="s">
        <v>1015</v>
      </c>
      <c r="H419">
        <v>30</v>
      </c>
    </row>
    <row r="420" spans="1:8" x14ac:dyDescent="0.25">
      <c r="A420">
        <v>453</v>
      </c>
      <c r="B420" t="s">
        <v>3386</v>
      </c>
      <c r="C420" t="s">
        <v>578</v>
      </c>
      <c r="D420" t="s">
        <v>3385</v>
      </c>
      <c r="E420" t="s">
        <v>12</v>
      </c>
      <c r="H420">
        <v>397</v>
      </c>
    </row>
    <row r="421" spans="1:8" x14ac:dyDescent="0.25">
      <c r="A421">
        <v>454</v>
      </c>
      <c r="B421" t="s">
        <v>4993</v>
      </c>
      <c r="C421" t="s">
        <v>277</v>
      </c>
      <c r="D421" t="s">
        <v>4994</v>
      </c>
      <c r="E421" t="s">
        <v>370</v>
      </c>
      <c r="H421">
        <v>9</v>
      </c>
    </row>
    <row r="422" spans="1:8" x14ac:dyDescent="0.25">
      <c r="A422">
        <v>456</v>
      </c>
      <c r="B422" t="s">
        <v>4995</v>
      </c>
      <c r="C422" t="s">
        <v>4996</v>
      </c>
      <c r="D422" t="s">
        <v>4997</v>
      </c>
      <c r="E422" t="s">
        <v>4957</v>
      </c>
      <c r="H422">
        <v>1246</v>
      </c>
    </row>
    <row r="423" spans="1:8" x14ac:dyDescent="0.25">
      <c r="A423">
        <v>457</v>
      </c>
      <c r="B423" t="s">
        <v>4998</v>
      </c>
      <c r="C423" t="s">
        <v>1522</v>
      </c>
      <c r="D423" t="s">
        <v>1523</v>
      </c>
      <c r="E423" t="s">
        <v>1436</v>
      </c>
      <c r="H423">
        <v>1426</v>
      </c>
    </row>
    <row r="424" spans="1:8" x14ac:dyDescent="0.25">
      <c r="A424">
        <v>458</v>
      </c>
      <c r="B424" t="s">
        <v>3483</v>
      </c>
      <c r="C424" t="s">
        <v>3482</v>
      </c>
      <c r="D424" t="s">
        <v>3481</v>
      </c>
      <c r="E424" t="s">
        <v>24</v>
      </c>
      <c r="H424">
        <v>616</v>
      </c>
    </row>
    <row r="425" spans="1:8" x14ac:dyDescent="0.25">
      <c r="A425">
        <v>459</v>
      </c>
      <c r="B425" t="s">
        <v>4834</v>
      </c>
      <c r="C425" t="s">
        <v>4835</v>
      </c>
      <c r="D425" t="s">
        <v>4836</v>
      </c>
      <c r="E425" t="s">
        <v>88</v>
      </c>
      <c r="H425">
        <v>4</v>
      </c>
    </row>
    <row r="426" spans="1:8" x14ac:dyDescent="0.25">
      <c r="A426">
        <v>460</v>
      </c>
      <c r="B426" t="s">
        <v>4999</v>
      </c>
      <c r="C426" t="s">
        <v>4146</v>
      </c>
      <c r="D426" t="s">
        <v>5000</v>
      </c>
      <c r="E426" t="s">
        <v>5001</v>
      </c>
      <c r="H426">
        <v>293</v>
      </c>
    </row>
    <row r="427" spans="1:8" x14ac:dyDescent="0.25">
      <c r="A427">
        <v>461</v>
      </c>
      <c r="B427" t="s">
        <v>3584</v>
      </c>
      <c r="C427" t="s">
        <v>3583</v>
      </c>
      <c r="D427" t="s">
        <v>3582</v>
      </c>
      <c r="E427" t="s">
        <v>3585</v>
      </c>
      <c r="H427">
        <v>801</v>
      </c>
    </row>
    <row r="428" spans="1:8" x14ac:dyDescent="0.25">
      <c r="A428">
        <v>462</v>
      </c>
      <c r="B428" t="s">
        <v>3733</v>
      </c>
      <c r="C428" t="s">
        <v>3734</v>
      </c>
      <c r="D428" t="s">
        <v>3735</v>
      </c>
      <c r="E428" t="s">
        <v>67</v>
      </c>
      <c r="H428">
        <v>177</v>
      </c>
    </row>
    <row r="429" spans="1:8" x14ac:dyDescent="0.25">
      <c r="A429">
        <v>463</v>
      </c>
      <c r="B429" t="s">
        <v>3764</v>
      </c>
      <c r="C429" t="s">
        <v>3476</v>
      </c>
      <c r="D429" t="s">
        <v>3765</v>
      </c>
      <c r="E429" t="s">
        <v>3137</v>
      </c>
      <c r="H429">
        <v>821</v>
      </c>
    </row>
    <row r="430" spans="1:8" x14ac:dyDescent="0.25">
      <c r="A430">
        <v>464</v>
      </c>
      <c r="B430" t="s">
        <v>5002</v>
      </c>
      <c r="C430" t="s">
        <v>637</v>
      </c>
      <c r="D430" t="s">
        <v>5003</v>
      </c>
      <c r="E430" t="s">
        <v>88</v>
      </c>
      <c r="H430">
        <v>654</v>
      </c>
    </row>
    <row r="431" spans="1:8" x14ac:dyDescent="0.25">
      <c r="A431">
        <v>465</v>
      </c>
      <c r="B431" t="s">
        <v>5004</v>
      </c>
      <c r="C431" t="s">
        <v>3464</v>
      </c>
      <c r="D431" t="s">
        <v>5005</v>
      </c>
      <c r="E431" t="s">
        <v>5006</v>
      </c>
      <c r="H431">
        <v>262</v>
      </c>
    </row>
    <row r="432" spans="1:8" x14ac:dyDescent="0.25">
      <c r="A432">
        <v>466</v>
      </c>
      <c r="B432" t="s">
        <v>5007</v>
      </c>
      <c r="C432" t="s">
        <v>743</v>
      </c>
      <c r="D432" t="s">
        <v>4801</v>
      </c>
      <c r="E432" t="s">
        <v>2697</v>
      </c>
      <c r="H432">
        <v>32</v>
      </c>
    </row>
    <row r="433" spans="1:8" x14ac:dyDescent="0.25">
      <c r="A433">
        <v>467</v>
      </c>
      <c r="B433" t="s">
        <v>3572</v>
      </c>
      <c r="C433" t="s">
        <v>3257</v>
      </c>
      <c r="D433" t="s">
        <v>3571</v>
      </c>
      <c r="E433" t="s">
        <v>24</v>
      </c>
      <c r="H433">
        <v>1321</v>
      </c>
    </row>
    <row r="434" spans="1:8" x14ac:dyDescent="0.25">
      <c r="A434">
        <v>468</v>
      </c>
      <c r="B434" t="s">
        <v>5008</v>
      </c>
      <c r="C434" t="s">
        <v>552</v>
      </c>
      <c r="D434" t="s">
        <v>5009</v>
      </c>
      <c r="E434" t="s">
        <v>12</v>
      </c>
      <c r="H434">
        <v>268</v>
      </c>
    </row>
    <row r="435" spans="1:8" x14ac:dyDescent="0.25">
      <c r="A435">
        <v>469</v>
      </c>
      <c r="B435" t="s">
        <v>4870</v>
      </c>
      <c r="C435" t="s">
        <v>567</v>
      </c>
      <c r="D435" t="s">
        <v>4871</v>
      </c>
      <c r="E435" t="s">
        <v>12</v>
      </c>
      <c r="H435">
        <v>2</v>
      </c>
    </row>
    <row r="436" spans="1:8" x14ac:dyDescent="0.25">
      <c r="A436">
        <v>470</v>
      </c>
      <c r="B436" t="s">
        <v>3599</v>
      </c>
      <c r="C436" t="s">
        <v>3598</v>
      </c>
      <c r="D436" t="s">
        <v>3597</v>
      </c>
      <c r="E436" t="s">
        <v>3375</v>
      </c>
      <c r="H436">
        <v>92</v>
      </c>
    </row>
    <row r="437" spans="1:8" x14ac:dyDescent="0.25">
      <c r="A437">
        <v>471</v>
      </c>
      <c r="B437" t="s">
        <v>3781</v>
      </c>
      <c r="C437" t="s">
        <v>652</v>
      </c>
      <c r="D437" t="s">
        <v>3782</v>
      </c>
      <c r="E437" t="s">
        <v>3280</v>
      </c>
      <c r="H437">
        <v>323</v>
      </c>
    </row>
    <row r="438" spans="1:8" x14ac:dyDescent="0.25">
      <c r="A438">
        <v>472</v>
      </c>
      <c r="B438" t="s">
        <v>3783</v>
      </c>
      <c r="C438" t="s">
        <v>763</v>
      </c>
      <c r="D438" t="s">
        <v>3784</v>
      </c>
      <c r="E438" t="s">
        <v>24</v>
      </c>
      <c r="H438">
        <v>404</v>
      </c>
    </row>
    <row r="439" spans="1:8" x14ac:dyDescent="0.25">
      <c r="A439">
        <v>473</v>
      </c>
      <c r="B439" t="s">
        <v>5010</v>
      </c>
      <c r="C439" t="s">
        <v>3502</v>
      </c>
      <c r="D439" t="s">
        <v>5011</v>
      </c>
      <c r="E439" t="s">
        <v>3151</v>
      </c>
      <c r="H439">
        <v>116</v>
      </c>
    </row>
    <row r="440" spans="1:8" x14ac:dyDescent="0.25">
      <c r="A440">
        <v>474</v>
      </c>
      <c r="B440" t="s">
        <v>5012</v>
      </c>
      <c r="C440" t="s">
        <v>298</v>
      </c>
      <c r="D440" t="s">
        <v>5013</v>
      </c>
      <c r="E440" t="s">
        <v>67</v>
      </c>
      <c r="H440">
        <v>239</v>
      </c>
    </row>
    <row r="441" spans="1:8" x14ac:dyDescent="0.25">
      <c r="A441">
        <v>475</v>
      </c>
      <c r="B441" t="s">
        <v>3595</v>
      </c>
      <c r="C441" t="s">
        <v>483</v>
      </c>
      <c r="D441" t="s">
        <v>484</v>
      </c>
      <c r="E441" t="s">
        <v>3596</v>
      </c>
      <c r="H441">
        <v>340</v>
      </c>
    </row>
    <row r="442" spans="1:8" x14ac:dyDescent="0.25">
      <c r="A442">
        <v>476</v>
      </c>
      <c r="B442" t="s">
        <v>3756</v>
      </c>
      <c r="C442" t="s">
        <v>419</v>
      </c>
      <c r="D442" t="s">
        <v>3757</v>
      </c>
      <c r="E442" t="s">
        <v>24</v>
      </c>
      <c r="H442">
        <v>359</v>
      </c>
    </row>
    <row r="443" spans="1:8" x14ac:dyDescent="0.25">
      <c r="A443">
        <v>477</v>
      </c>
      <c r="B443" t="s">
        <v>5014</v>
      </c>
      <c r="C443" t="s">
        <v>93</v>
      </c>
      <c r="D443" t="s">
        <v>5015</v>
      </c>
      <c r="E443" t="s">
        <v>24</v>
      </c>
      <c r="H443">
        <v>852</v>
      </c>
    </row>
    <row r="444" spans="1:8" x14ac:dyDescent="0.25">
      <c r="A444">
        <v>478</v>
      </c>
      <c r="B444" t="s">
        <v>5016</v>
      </c>
      <c r="C444" t="s">
        <v>578</v>
      </c>
      <c r="D444" t="s">
        <v>5017</v>
      </c>
      <c r="E444" t="s">
        <v>12</v>
      </c>
      <c r="H444">
        <v>3</v>
      </c>
    </row>
    <row r="445" spans="1:8" x14ac:dyDescent="0.25">
      <c r="A445">
        <v>479</v>
      </c>
      <c r="B445" t="s">
        <v>5018</v>
      </c>
      <c r="C445" t="s">
        <v>2730</v>
      </c>
      <c r="D445" t="s">
        <v>5019</v>
      </c>
      <c r="E445" t="s">
        <v>2731</v>
      </c>
      <c r="H445">
        <v>827</v>
      </c>
    </row>
    <row r="446" spans="1:8" x14ac:dyDescent="0.25">
      <c r="A446">
        <v>480</v>
      </c>
      <c r="B446" t="s">
        <v>3607</v>
      </c>
      <c r="C446" t="s">
        <v>3606</v>
      </c>
      <c r="D446" t="s">
        <v>3605</v>
      </c>
      <c r="E446" t="s">
        <v>131</v>
      </c>
      <c r="H446">
        <v>285</v>
      </c>
    </row>
    <row r="447" spans="1:8" x14ac:dyDescent="0.25">
      <c r="A447">
        <v>481</v>
      </c>
      <c r="B447" t="s">
        <v>4818</v>
      </c>
      <c r="C447" t="s">
        <v>561</v>
      </c>
      <c r="D447" t="s">
        <v>4747</v>
      </c>
      <c r="E447" t="s">
        <v>138</v>
      </c>
      <c r="H447">
        <v>2</v>
      </c>
    </row>
    <row r="448" spans="1:8" x14ac:dyDescent="0.25">
      <c r="A448">
        <v>482</v>
      </c>
      <c r="B448" t="s">
        <v>5020</v>
      </c>
      <c r="C448" t="s">
        <v>316</v>
      </c>
      <c r="D448" t="s">
        <v>5021</v>
      </c>
      <c r="E448" t="s">
        <v>88</v>
      </c>
      <c r="H448">
        <v>57</v>
      </c>
    </row>
    <row r="449" spans="1:8" x14ac:dyDescent="0.25">
      <c r="A449">
        <v>483</v>
      </c>
      <c r="B449" t="s">
        <v>3604</v>
      </c>
      <c r="C449" t="s">
        <v>3603</v>
      </c>
      <c r="D449" t="s">
        <v>3602</v>
      </c>
      <c r="E449" t="s">
        <v>716</v>
      </c>
      <c r="H449">
        <v>397</v>
      </c>
    </row>
    <row r="450" spans="1:8" x14ac:dyDescent="0.25">
      <c r="A450">
        <v>485</v>
      </c>
      <c r="B450" t="s">
        <v>3740</v>
      </c>
      <c r="C450" t="s">
        <v>652</v>
      </c>
      <c r="D450" t="s">
        <v>3741</v>
      </c>
      <c r="E450" t="s">
        <v>2681</v>
      </c>
      <c r="H450">
        <v>241</v>
      </c>
    </row>
    <row r="451" spans="1:8" x14ac:dyDescent="0.25">
      <c r="A451">
        <v>486</v>
      </c>
      <c r="B451" t="s">
        <v>3746</v>
      </c>
      <c r="C451" t="s">
        <v>652</v>
      </c>
      <c r="D451" t="s">
        <v>3747</v>
      </c>
      <c r="E451" t="s">
        <v>2681</v>
      </c>
      <c r="H451">
        <v>568</v>
      </c>
    </row>
    <row r="452" spans="1:8" x14ac:dyDescent="0.25">
      <c r="A452">
        <v>487</v>
      </c>
      <c r="B452" t="s">
        <v>5022</v>
      </c>
      <c r="C452" t="s">
        <v>93</v>
      </c>
      <c r="D452" t="s">
        <v>5023</v>
      </c>
      <c r="E452" t="s">
        <v>24</v>
      </c>
      <c r="H452">
        <v>79</v>
      </c>
    </row>
    <row r="453" spans="1:8" x14ac:dyDescent="0.25">
      <c r="A453">
        <v>488</v>
      </c>
      <c r="B453" t="s">
        <v>3575</v>
      </c>
      <c r="C453" t="s">
        <v>3135</v>
      </c>
      <c r="D453" t="s">
        <v>3574</v>
      </c>
      <c r="E453" t="s">
        <v>3137</v>
      </c>
      <c r="H453">
        <v>625</v>
      </c>
    </row>
    <row r="454" spans="1:8" x14ac:dyDescent="0.25">
      <c r="A454">
        <v>489</v>
      </c>
      <c r="B454" t="s">
        <v>5024</v>
      </c>
      <c r="C454" t="s">
        <v>43</v>
      </c>
      <c r="D454" t="s">
        <v>5025</v>
      </c>
      <c r="E454" t="s">
        <v>31</v>
      </c>
      <c r="H454">
        <v>398</v>
      </c>
    </row>
    <row r="455" spans="1:8" x14ac:dyDescent="0.25">
      <c r="A455">
        <v>491</v>
      </c>
      <c r="B455" t="s">
        <v>3766</v>
      </c>
      <c r="C455" t="s">
        <v>3609</v>
      </c>
      <c r="D455" t="s">
        <v>3767</v>
      </c>
      <c r="E455" t="s">
        <v>3768</v>
      </c>
      <c r="H455">
        <v>61</v>
      </c>
    </row>
    <row r="456" spans="1:8" x14ac:dyDescent="0.25">
      <c r="A456">
        <v>492</v>
      </c>
      <c r="B456" t="s">
        <v>5026</v>
      </c>
      <c r="C456" t="s">
        <v>571</v>
      </c>
      <c r="D456" t="s">
        <v>5027</v>
      </c>
      <c r="E456" t="s">
        <v>5028</v>
      </c>
      <c r="H456">
        <v>18</v>
      </c>
    </row>
    <row r="457" spans="1:8" x14ac:dyDescent="0.25">
      <c r="A457">
        <v>493</v>
      </c>
      <c r="B457" t="s">
        <v>3491</v>
      </c>
      <c r="C457" t="s">
        <v>1563</v>
      </c>
      <c r="D457" t="s">
        <v>1564</v>
      </c>
      <c r="E457" t="s">
        <v>341</v>
      </c>
      <c r="H457">
        <v>1169</v>
      </c>
    </row>
    <row r="458" spans="1:8" x14ac:dyDescent="0.25">
      <c r="A458">
        <v>494</v>
      </c>
      <c r="B458" t="s">
        <v>3771</v>
      </c>
      <c r="C458" t="s">
        <v>3772</v>
      </c>
      <c r="D458" t="s">
        <v>3773</v>
      </c>
      <c r="E458" t="s">
        <v>716</v>
      </c>
      <c r="H458">
        <v>143</v>
      </c>
    </row>
    <row r="459" spans="1:8" x14ac:dyDescent="0.25">
      <c r="A459">
        <v>495</v>
      </c>
      <c r="B459" t="s">
        <v>3525</v>
      </c>
      <c r="C459" t="s">
        <v>3524</v>
      </c>
      <c r="D459" t="s">
        <v>3523</v>
      </c>
      <c r="E459" t="s">
        <v>24</v>
      </c>
      <c r="H459">
        <v>652</v>
      </c>
    </row>
    <row r="460" spans="1:8" x14ac:dyDescent="0.25">
      <c r="A460">
        <v>496</v>
      </c>
      <c r="B460" t="s">
        <v>5029</v>
      </c>
      <c r="C460" t="s">
        <v>1488</v>
      </c>
      <c r="D460" t="s">
        <v>5030</v>
      </c>
      <c r="E460" t="s">
        <v>976</v>
      </c>
      <c r="H460">
        <v>1289</v>
      </c>
    </row>
    <row r="461" spans="1:8" x14ac:dyDescent="0.25">
      <c r="A461">
        <v>498</v>
      </c>
      <c r="B461" t="s">
        <v>5031</v>
      </c>
      <c r="C461" t="s">
        <v>4146</v>
      </c>
      <c r="D461" t="s">
        <v>5032</v>
      </c>
      <c r="E461" t="s">
        <v>88</v>
      </c>
      <c r="H461">
        <v>6</v>
      </c>
    </row>
    <row r="462" spans="1:8" x14ac:dyDescent="0.25">
      <c r="A462">
        <v>499</v>
      </c>
      <c r="B462" t="s">
        <v>5033</v>
      </c>
      <c r="C462" t="s">
        <v>5034</v>
      </c>
      <c r="D462" t="s">
        <v>5035</v>
      </c>
      <c r="E462" t="s">
        <v>4957</v>
      </c>
      <c r="H462">
        <v>700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73021-C458-4EA5-9C8E-8819C56F3917}">
  <sheetPr codeName="Planilha20"/>
  <dimension ref="A1:R8"/>
  <sheetViews>
    <sheetView showGridLines="0"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2.140625" bestFit="1" customWidth="1"/>
    <col min="3" max="3" width="70" bestFit="1" customWidth="1"/>
    <col min="4" max="4" width="14.85546875" bestFit="1" customWidth="1"/>
    <col min="5" max="5" width="18.5703125" bestFit="1" customWidth="1"/>
    <col min="6" max="6" width="17.42578125" bestFit="1" customWidth="1"/>
    <col min="7" max="7" width="9.42578125" bestFit="1" customWidth="1"/>
    <col min="8" max="8" width="13.5703125" bestFit="1" customWidth="1"/>
    <col min="9" max="9" width="13.7109375" bestFit="1" customWidth="1"/>
    <col min="10" max="10" width="9.140625" bestFit="1" customWidth="1"/>
    <col min="11" max="11" width="5.28515625" bestFit="1" customWidth="1"/>
    <col min="18" max="18" width="23.7109375" bestFit="1" customWidth="1"/>
  </cols>
  <sheetData>
    <row r="1" spans="1:18" x14ac:dyDescent="0.25">
      <c r="A1" t="s">
        <v>3789</v>
      </c>
      <c r="B1" t="s">
        <v>2877</v>
      </c>
      <c r="C1" t="s">
        <v>2878</v>
      </c>
      <c r="D1" t="s">
        <v>2987</v>
      </c>
      <c r="E1" t="s">
        <v>2880</v>
      </c>
      <c r="F1" t="s">
        <v>2881</v>
      </c>
      <c r="G1" t="s">
        <v>3622</v>
      </c>
      <c r="H1" t="s">
        <v>2737</v>
      </c>
      <c r="I1" t="s">
        <v>2883</v>
      </c>
      <c r="J1" t="s">
        <v>1108</v>
      </c>
      <c r="K1" t="s">
        <v>3913</v>
      </c>
      <c r="R1" t="s">
        <v>4891</v>
      </c>
    </row>
    <row r="2" spans="1:18" x14ac:dyDescent="0.25">
      <c r="A2" s="3">
        <v>45907</v>
      </c>
      <c r="B2">
        <v>81</v>
      </c>
      <c r="C2" t="s">
        <v>3094</v>
      </c>
      <c r="D2" t="s">
        <v>332</v>
      </c>
      <c r="E2" t="s">
        <v>3093</v>
      </c>
      <c r="F2" t="s">
        <v>12</v>
      </c>
      <c r="I2">
        <v>156</v>
      </c>
      <c r="J2" s="3"/>
      <c r="R2" t="s">
        <v>1051</v>
      </c>
    </row>
    <row r="3" spans="1:18" x14ac:dyDescent="0.25">
      <c r="A3" s="3">
        <v>45907</v>
      </c>
      <c r="B3">
        <v>99</v>
      </c>
      <c r="C3" t="s">
        <v>3075</v>
      </c>
      <c r="D3" t="s">
        <v>332</v>
      </c>
      <c r="E3" t="s">
        <v>333</v>
      </c>
      <c r="F3" t="s">
        <v>12</v>
      </c>
      <c r="I3">
        <v>37</v>
      </c>
      <c r="J3" s="3"/>
      <c r="R3" t="s">
        <v>19</v>
      </c>
    </row>
    <row r="4" spans="1:18" x14ac:dyDescent="0.25">
      <c r="A4" s="3">
        <v>45907</v>
      </c>
      <c r="B4">
        <v>167</v>
      </c>
      <c r="C4" t="s">
        <v>3293</v>
      </c>
      <c r="D4" t="s">
        <v>159</v>
      </c>
      <c r="E4" t="s">
        <v>160</v>
      </c>
      <c r="F4" t="s">
        <v>2911</v>
      </c>
      <c r="I4">
        <v>263</v>
      </c>
      <c r="J4" s="3"/>
      <c r="R4" t="s">
        <v>137</v>
      </c>
    </row>
    <row r="5" spans="1:18" x14ac:dyDescent="0.25">
      <c r="A5" s="3">
        <v>45907</v>
      </c>
      <c r="B5">
        <v>372</v>
      </c>
      <c r="C5" t="s">
        <v>3215</v>
      </c>
      <c r="D5" t="s">
        <v>527</v>
      </c>
      <c r="E5" t="s">
        <v>73</v>
      </c>
      <c r="F5" t="s">
        <v>20</v>
      </c>
      <c r="I5">
        <v>29</v>
      </c>
      <c r="J5" s="3"/>
      <c r="R5" t="s">
        <v>522</v>
      </c>
    </row>
    <row r="6" spans="1:18" x14ac:dyDescent="0.25">
      <c r="R6" t="s">
        <v>160</v>
      </c>
    </row>
    <row r="7" spans="1:18" x14ac:dyDescent="0.25">
      <c r="R7" t="s">
        <v>73</v>
      </c>
    </row>
    <row r="8" spans="1:18" x14ac:dyDescent="0.25">
      <c r="R8" t="s">
        <v>477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22048-8E02-41B8-A020-8A0F70FD598D}">
  <sheetPr codeName="Planilha21"/>
  <dimension ref="A1:I101"/>
  <sheetViews>
    <sheetView showGridLines="0" topLeftCell="D1" zoomScale="90" zoomScaleNormal="90" workbookViewId="0">
      <selection activeCell="C2" sqref="C2"/>
    </sheetView>
  </sheetViews>
  <sheetFormatPr defaultRowHeight="15" x14ac:dyDescent="0.25"/>
  <cols>
    <col min="1" max="1" width="5.28515625" bestFit="1" customWidth="1"/>
    <col min="2" max="2" width="49.28515625" bestFit="1" customWidth="1"/>
    <col min="3" max="3" width="60.28515625" bestFit="1" customWidth="1"/>
    <col min="4" max="4" width="81.140625" bestFit="1" customWidth="1"/>
    <col min="5" max="5" width="10.140625" bestFit="1" customWidth="1"/>
    <col min="6" max="6" width="13.5703125" bestFit="1" customWidth="1"/>
    <col min="7" max="7" width="15.7109375" bestFit="1" customWidth="1"/>
    <col min="8" max="8" width="11.5703125" bestFit="1" customWidth="1"/>
    <col min="9" max="9" width="9.140625" style="3" bestFit="1" customWidth="1"/>
  </cols>
  <sheetData>
    <row r="1" spans="1:9" x14ac:dyDescent="0.25">
      <c r="A1" t="s">
        <v>2734</v>
      </c>
      <c r="B1" t="s">
        <v>2735</v>
      </c>
      <c r="C1" t="s">
        <v>2987</v>
      </c>
      <c r="D1" t="s">
        <v>2736</v>
      </c>
      <c r="E1" t="s">
        <v>5</v>
      </c>
      <c r="F1" t="s">
        <v>2737</v>
      </c>
      <c r="G1" t="s">
        <v>2738</v>
      </c>
      <c r="H1" s="3" t="s">
        <v>1108</v>
      </c>
      <c r="I1"/>
    </row>
    <row r="2" spans="1:9" x14ac:dyDescent="0.25">
      <c r="A2">
        <v>1</v>
      </c>
      <c r="B2" t="s">
        <v>2739</v>
      </c>
      <c r="C2" t="s">
        <v>10</v>
      </c>
      <c r="D2" t="s">
        <v>2740</v>
      </c>
      <c r="E2" t="str">
        <f>IFERROR(INDEX([3]Youtube___Daily_Videos!$F:$F,MATCH(Youtube___Daily_Videos[[#This Row],[YouTube URL]],[3]Youtube___Daily_Videos!$C:$C,0),1),"-")</f>
        <v>-</v>
      </c>
      <c r="F2" t="s">
        <v>2741</v>
      </c>
      <c r="G2">
        <v>127</v>
      </c>
      <c r="H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"/>
    </row>
    <row r="3" spans="1:9" x14ac:dyDescent="0.25">
      <c r="A3">
        <v>2</v>
      </c>
      <c r="B3" t="s">
        <v>2775</v>
      </c>
      <c r="C3" t="s">
        <v>402</v>
      </c>
      <c r="D3" t="s">
        <v>403</v>
      </c>
      <c r="E3" t="str">
        <f>IFERROR(INDEX([3]Youtube___Daily_Videos!$F:$F,MATCH(Youtube___Daily_Videos[[#This Row],[YouTube URL]],[3]Youtube___Daily_Videos!$C:$C,0),1),"-")</f>
        <v>-</v>
      </c>
      <c r="F3" t="s">
        <v>2744</v>
      </c>
      <c r="G3">
        <v>26</v>
      </c>
      <c r="H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"/>
    </row>
    <row r="4" spans="1:9" x14ac:dyDescent="0.25">
      <c r="A4">
        <v>3</v>
      </c>
      <c r="B4" t="s">
        <v>2742</v>
      </c>
      <c r="C4" t="s">
        <v>4348</v>
      </c>
      <c r="D4" t="s">
        <v>2743</v>
      </c>
      <c r="E4" t="str">
        <f>IFERROR(INDEX([3]Youtube___Daily_Videos!$F:$F,MATCH(Youtube___Daily_Videos[[#This Row],[YouTube URL]],[3]Youtube___Daily_Videos!$C:$C,0),1),"-")</f>
        <v>-</v>
      </c>
      <c r="F4" t="s">
        <v>2747</v>
      </c>
      <c r="G4">
        <v>190</v>
      </c>
      <c r="H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"/>
    </row>
    <row r="5" spans="1:9" x14ac:dyDescent="0.25">
      <c r="A5">
        <v>4</v>
      </c>
      <c r="B5" t="s">
        <v>2745</v>
      </c>
      <c r="C5" t="s">
        <v>36</v>
      </c>
      <c r="D5" t="s">
        <v>2746</v>
      </c>
      <c r="E5" t="str">
        <f>IFERROR(INDEX([3]Youtube___Daily_Videos!$F:$F,MATCH(Youtube___Daily_Videos[[#This Row],[YouTube URL]],[3]Youtube___Daily_Videos!$C:$C,0),1),"-")</f>
        <v>-</v>
      </c>
      <c r="F5" t="s">
        <v>2750</v>
      </c>
      <c r="G5">
        <v>277</v>
      </c>
      <c r="H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"/>
    </row>
    <row r="6" spans="1:9" x14ac:dyDescent="0.25">
      <c r="A6">
        <v>5</v>
      </c>
      <c r="B6" t="s">
        <v>2763</v>
      </c>
      <c r="C6" t="s">
        <v>2891</v>
      </c>
      <c r="D6" t="s">
        <v>2764</v>
      </c>
      <c r="E6">
        <f>IFERROR(INDEX([3]Youtube___Daily_Videos!$F:$F,MATCH(Youtube___Daily_Videos[[#This Row],[YouTube URL]],[3]Youtube___Daily_Videos!$C:$C,0),1),"-")</f>
        <v>5</v>
      </c>
      <c r="F6" t="s">
        <v>2753</v>
      </c>
      <c r="G6">
        <v>17</v>
      </c>
      <c r="H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"/>
    </row>
    <row r="7" spans="1:9" x14ac:dyDescent="0.25">
      <c r="A7">
        <v>6</v>
      </c>
      <c r="B7" t="s">
        <v>2751</v>
      </c>
      <c r="C7" t="s">
        <v>33</v>
      </c>
      <c r="D7" t="s">
        <v>2752</v>
      </c>
      <c r="E7" t="str">
        <f>IFERROR(INDEX([3]Youtube___Daily_Videos!$F:$F,MATCH(Youtube___Daily_Videos[[#This Row],[YouTube URL]],[3]Youtube___Daily_Videos!$C:$C,0),1),"-")</f>
        <v>-</v>
      </c>
      <c r="F7" t="s">
        <v>2765</v>
      </c>
      <c r="G7">
        <v>373</v>
      </c>
      <c r="H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"/>
    </row>
    <row r="8" spans="1:9" x14ac:dyDescent="0.25">
      <c r="A8">
        <v>7</v>
      </c>
      <c r="B8" t="s">
        <v>2754</v>
      </c>
      <c r="C8" t="s">
        <v>561</v>
      </c>
      <c r="D8" t="s">
        <v>2755</v>
      </c>
      <c r="E8" t="str">
        <f>IFERROR(INDEX([3]Youtube___Daily_Videos!$F:$F,MATCH(Youtube___Daily_Videos[[#This Row],[YouTube URL]],[3]Youtube___Daily_Videos!$C:$C,0),1),"-")</f>
        <v>-</v>
      </c>
      <c r="F8" t="s">
        <v>2756</v>
      </c>
      <c r="G8">
        <v>65</v>
      </c>
      <c r="H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"/>
    </row>
    <row r="9" spans="1:9" x14ac:dyDescent="0.25">
      <c r="A9">
        <v>8</v>
      </c>
      <c r="B9" t="s">
        <v>2748</v>
      </c>
      <c r="C9" t="s">
        <v>4349</v>
      </c>
      <c r="D9" t="s">
        <v>2749</v>
      </c>
      <c r="E9">
        <f>IFERROR(INDEX([3]Youtube___Daily_Videos!$F:$F,MATCH(Youtube___Daily_Videos[[#This Row],[YouTube URL]],[3]Youtube___Daily_Videos!$C:$C,0),1),"-")</f>
        <v>2</v>
      </c>
      <c r="F9" t="s">
        <v>2762</v>
      </c>
      <c r="G9">
        <v>57</v>
      </c>
      <c r="H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45871</v>
      </c>
      <c r="I9"/>
    </row>
    <row r="10" spans="1:9" x14ac:dyDescent="0.25">
      <c r="A10">
        <v>9</v>
      </c>
      <c r="B10" t="s">
        <v>2757</v>
      </c>
      <c r="C10" t="s">
        <v>69</v>
      </c>
      <c r="D10" t="s">
        <v>2758</v>
      </c>
      <c r="E10" t="str">
        <f>IFERROR(INDEX([3]Youtube___Daily_Videos!$F:$F,MATCH(Youtube___Daily_Videos[[#This Row],[YouTube URL]],[3]Youtube___Daily_Videos!$C:$C,0),1),"-")</f>
        <v>-</v>
      </c>
      <c r="F10" t="s">
        <v>2759</v>
      </c>
      <c r="G10">
        <v>154</v>
      </c>
      <c r="H1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0"/>
    </row>
    <row r="11" spans="1:9" x14ac:dyDescent="0.25">
      <c r="A11">
        <v>10</v>
      </c>
      <c r="B11" t="s">
        <v>2760</v>
      </c>
      <c r="C11" t="s">
        <v>4350</v>
      </c>
      <c r="D11" t="s">
        <v>2761</v>
      </c>
      <c r="E11" t="str">
        <f>IFERROR(INDEX([3]Youtube___Daily_Videos!$F:$F,MATCH(Youtube___Daily_Videos[[#This Row],[YouTube URL]],[3]Youtube___Daily_Videos!$C:$C,0),1),"-")</f>
        <v>-</v>
      </c>
      <c r="F11" t="s">
        <v>2771</v>
      </c>
      <c r="G11">
        <v>345</v>
      </c>
      <c r="H1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1"/>
    </row>
    <row r="12" spans="1:9" x14ac:dyDescent="0.25">
      <c r="A12">
        <v>11</v>
      </c>
      <c r="B12" t="s">
        <v>2769</v>
      </c>
      <c r="C12" t="s">
        <v>2770</v>
      </c>
      <c r="D12" t="s">
        <v>286</v>
      </c>
      <c r="E12" t="str">
        <f>IFERROR(INDEX([3]Youtube___Daily_Videos!$F:$F,MATCH(Youtube___Daily_Videos[[#This Row],[YouTube URL]],[3]Youtube___Daily_Videos!$C:$C,0),1),"-")</f>
        <v>-</v>
      </c>
      <c r="F12" t="s">
        <v>2838</v>
      </c>
      <c r="G12">
        <v>51</v>
      </c>
      <c r="H1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2"/>
    </row>
    <row r="13" spans="1:9" x14ac:dyDescent="0.25">
      <c r="A13">
        <v>12</v>
      </c>
      <c r="B13" t="s">
        <v>2766</v>
      </c>
      <c r="C13" t="s">
        <v>33</v>
      </c>
      <c r="D13" t="s">
        <v>2767</v>
      </c>
      <c r="E13" t="str">
        <f>IFERROR(INDEX([3]Youtube___Daily_Videos!$F:$F,MATCH(Youtube___Daily_Videos[[#This Row],[YouTube URL]],[3]Youtube___Daily_Videos!$C:$C,0),1),"-")</f>
        <v>-</v>
      </c>
      <c r="F13" t="s">
        <v>2865</v>
      </c>
      <c r="G13">
        <v>272</v>
      </c>
      <c r="H1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3"/>
    </row>
    <row r="14" spans="1:9" x14ac:dyDescent="0.25">
      <c r="A14">
        <v>13</v>
      </c>
      <c r="B14" t="s">
        <v>2772</v>
      </c>
      <c r="C14" t="s">
        <v>4350</v>
      </c>
      <c r="D14" t="s">
        <v>2773</v>
      </c>
      <c r="E14" t="str">
        <f>IFERROR(INDEX([3]Youtube___Daily_Videos!$F:$F,MATCH(Youtube___Daily_Videos[[#This Row],[YouTube URL]],[3]Youtube___Daily_Videos!$C:$C,0),1),"-")</f>
        <v>-</v>
      </c>
      <c r="F14" t="s">
        <v>2774</v>
      </c>
      <c r="G14">
        <v>336</v>
      </c>
      <c r="H1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4"/>
    </row>
    <row r="15" spans="1:9" x14ac:dyDescent="0.25">
      <c r="A15">
        <v>14</v>
      </c>
      <c r="B15" t="s">
        <v>3721</v>
      </c>
      <c r="C15" t="s">
        <v>665</v>
      </c>
      <c r="D15" t="s">
        <v>3451</v>
      </c>
      <c r="E15" t="str">
        <f>IFERROR(INDEX([3]Youtube___Daily_Videos!$F:$F,MATCH(Youtube___Daily_Videos[[#This Row],[YouTube URL]],[3]Youtube___Daily_Videos!$C:$C,0),1),"-")</f>
        <v>-</v>
      </c>
      <c r="F15" t="s">
        <v>2768</v>
      </c>
      <c r="G15">
        <v>15</v>
      </c>
      <c r="H1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5"/>
    </row>
    <row r="16" spans="1:9" x14ac:dyDescent="0.25">
      <c r="A16">
        <v>15</v>
      </c>
      <c r="B16" t="s">
        <v>2785</v>
      </c>
      <c r="C16" t="s">
        <v>978</v>
      </c>
      <c r="D16" t="s">
        <v>2786</v>
      </c>
      <c r="E16" t="str">
        <f>IFERROR(INDEX([3]Youtube___Daily_Videos!$F:$F,MATCH(Youtube___Daily_Videos[[#This Row],[YouTube URL]],[3]Youtube___Daily_Videos!$C:$C,0),1),"-")</f>
        <v>-</v>
      </c>
      <c r="F16" t="s">
        <v>3805</v>
      </c>
      <c r="G16">
        <v>61</v>
      </c>
      <c r="H1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6"/>
    </row>
    <row r="17" spans="1:9" x14ac:dyDescent="0.25">
      <c r="A17">
        <v>16</v>
      </c>
      <c r="B17" t="s">
        <v>2777</v>
      </c>
      <c r="C17" t="s">
        <v>4350</v>
      </c>
      <c r="D17" t="s">
        <v>2778</v>
      </c>
      <c r="E17" t="str">
        <f>IFERROR(INDEX([3]Youtube___Daily_Videos!$F:$F,MATCH(Youtube___Daily_Videos[[#This Row],[YouTube URL]],[3]Youtube___Daily_Videos!$C:$C,0),1),"-")</f>
        <v>-</v>
      </c>
      <c r="F17" t="s">
        <v>2779</v>
      </c>
      <c r="G17">
        <v>190</v>
      </c>
      <c r="H1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7"/>
    </row>
    <row r="18" spans="1:9" x14ac:dyDescent="0.25">
      <c r="A18">
        <v>17</v>
      </c>
      <c r="B18" t="s">
        <v>2788</v>
      </c>
      <c r="C18" t="s">
        <v>1090</v>
      </c>
      <c r="D18" t="s">
        <v>2789</v>
      </c>
      <c r="E18" t="str">
        <f>IFERROR(INDEX([3]Youtube___Daily_Videos!$F:$F,MATCH(Youtube___Daily_Videos[[#This Row],[YouTube URL]],[3]Youtube___Daily_Videos!$C:$C,0),1),"-")</f>
        <v>-</v>
      </c>
      <c r="F18" t="s">
        <v>2826</v>
      </c>
      <c r="G18">
        <v>108</v>
      </c>
      <c r="H1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8"/>
    </row>
    <row r="19" spans="1:9" x14ac:dyDescent="0.25">
      <c r="A19">
        <v>18</v>
      </c>
      <c r="B19" t="s">
        <v>2791</v>
      </c>
      <c r="C19" t="s">
        <v>164</v>
      </c>
      <c r="D19" t="s">
        <v>2792</v>
      </c>
      <c r="E19" t="str">
        <f>IFERROR(INDEX([3]Youtube___Daily_Videos!$F:$F,MATCH(Youtube___Daily_Videos[[#This Row],[YouTube URL]],[3]Youtube___Daily_Videos!$C:$C,0),1),"-")</f>
        <v>-</v>
      </c>
      <c r="F19" t="s">
        <v>2776</v>
      </c>
      <c r="G19">
        <v>137</v>
      </c>
      <c r="H1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9"/>
    </row>
    <row r="20" spans="1:9" x14ac:dyDescent="0.25">
      <c r="A20">
        <v>19</v>
      </c>
      <c r="B20" t="s">
        <v>3727</v>
      </c>
      <c r="C20" t="s">
        <v>561</v>
      </c>
      <c r="D20" t="s">
        <v>3728</v>
      </c>
      <c r="E20" t="str">
        <f>IFERROR(INDEX([3]Youtube___Daily_Videos!$F:$F,MATCH(Youtube___Daily_Videos[[#This Row],[YouTube URL]],[3]Youtube___Daily_Videos!$C:$C,0),1),"-")</f>
        <v>-</v>
      </c>
      <c r="F20" t="s">
        <v>2787</v>
      </c>
      <c r="G20">
        <v>15</v>
      </c>
      <c r="H2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0"/>
    </row>
    <row r="21" spans="1:9" x14ac:dyDescent="0.25">
      <c r="A21">
        <v>20</v>
      </c>
      <c r="B21" t="s">
        <v>2803</v>
      </c>
      <c r="C21" t="s">
        <v>2804</v>
      </c>
      <c r="D21" t="s">
        <v>2805</v>
      </c>
      <c r="E21" t="str">
        <f>IFERROR(INDEX([3]Youtube___Daily_Videos!$F:$F,MATCH(Youtube___Daily_Videos[[#This Row],[YouTube URL]],[3]Youtube___Daily_Videos!$C:$C,0),1),"-")</f>
        <v>-</v>
      </c>
      <c r="F21" t="s">
        <v>2824</v>
      </c>
      <c r="G21">
        <v>209</v>
      </c>
      <c r="H2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1"/>
    </row>
    <row r="22" spans="1:9" x14ac:dyDescent="0.25">
      <c r="A22">
        <v>21</v>
      </c>
      <c r="B22" t="s">
        <v>4611</v>
      </c>
      <c r="C22" t="s">
        <v>33</v>
      </c>
      <c r="D22" t="s">
        <v>2817</v>
      </c>
      <c r="E22" t="str">
        <f>IFERROR(INDEX([3]Youtube___Daily_Videos!$F:$F,MATCH(Youtube___Daily_Videos[[#This Row],[YouTube URL]],[3]Youtube___Daily_Videos!$C:$C,0),1),"-")</f>
        <v>-</v>
      </c>
      <c r="F22" t="s">
        <v>2796</v>
      </c>
      <c r="G22">
        <v>193</v>
      </c>
      <c r="H2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2"/>
    </row>
    <row r="23" spans="1:9" x14ac:dyDescent="0.25">
      <c r="A23">
        <v>22</v>
      </c>
      <c r="B23" t="s">
        <v>2799</v>
      </c>
      <c r="C23" t="s">
        <v>4357</v>
      </c>
      <c r="D23" t="s">
        <v>423</v>
      </c>
      <c r="E23" t="str">
        <f>IFERROR(INDEX([3]Youtube___Daily_Videos!$F:$F,MATCH(Youtube___Daily_Videos[[#This Row],[YouTube URL]],[3]Youtube___Daily_Videos!$C:$C,0),1),"-")</f>
        <v>-</v>
      </c>
      <c r="F23" t="s">
        <v>2831</v>
      </c>
      <c r="G23">
        <v>159</v>
      </c>
      <c r="H2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3"/>
    </row>
    <row r="24" spans="1:9" x14ac:dyDescent="0.25">
      <c r="A24">
        <v>23</v>
      </c>
      <c r="B24" t="s">
        <v>3904</v>
      </c>
      <c r="C24" t="s">
        <v>384</v>
      </c>
      <c r="D24" t="s">
        <v>3905</v>
      </c>
      <c r="E24" t="str">
        <f>IFERROR(INDEX([3]Youtube___Daily_Videos!$F:$F,MATCH(Youtube___Daily_Videos[[#This Row],[YouTube URL]],[3]Youtube___Daily_Videos!$C:$C,0),1),"-")</f>
        <v>-</v>
      </c>
      <c r="F24" t="s">
        <v>2811</v>
      </c>
      <c r="G24">
        <v>294</v>
      </c>
      <c r="H2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4"/>
    </row>
    <row r="25" spans="1:9" x14ac:dyDescent="0.25">
      <c r="A25">
        <v>24</v>
      </c>
      <c r="B25" t="s">
        <v>2784</v>
      </c>
      <c r="C25" t="s">
        <v>4352</v>
      </c>
      <c r="D25" t="s">
        <v>3722</v>
      </c>
      <c r="E25" t="str">
        <f>IFERROR(INDEX([3]Youtube___Daily_Videos!$F:$F,MATCH(Youtube___Daily_Videos[[#This Row],[YouTube URL]],[3]Youtube___Daily_Videos!$C:$C,0),1),"-")</f>
        <v>-</v>
      </c>
      <c r="F25" t="s">
        <v>3806</v>
      </c>
      <c r="G25">
        <v>16</v>
      </c>
      <c r="H2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5"/>
    </row>
    <row r="26" spans="1:9" x14ac:dyDescent="0.25">
      <c r="A26">
        <v>25</v>
      </c>
      <c r="B26" t="s">
        <v>2795</v>
      </c>
      <c r="C26" t="s">
        <v>4350</v>
      </c>
      <c r="D26" t="s">
        <v>4351</v>
      </c>
      <c r="E26" t="str">
        <f>IFERROR(INDEX([3]Youtube___Daily_Videos!$F:$F,MATCH(Youtube___Daily_Videos[[#This Row],[YouTube URL]],[3]Youtube___Daily_Videos!$C:$C,0),1),"-")</f>
        <v>-</v>
      </c>
      <c r="F26" t="s">
        <v>2794</v>
      </c>
      <c r="G26">
        <v>44</v>
      </c>
      <c r="H2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6"/>
    </row>
    <row r="27" spans="1:9" x14ac:dyDescent="0.25">
      <c r="A27">
        <v>26</v>
      </c>
      <c r="B27" t="s">
        <v>2813</v>
      </c>
      <c r="C27" t="s">
        <v>2814</v>
      </c>
      <c r="D27" t="s">
        <v>2815</v>
      </c>
      <c r="E27" t="str">
        <f>IFERROR(INDEX([3]Youtube___Daily_Videos!$F:$F,MATCH(Youtube___Daily_Videos[[#This Row],[YouTube URL]],[3]Youtube___Daily_Videos!$C:$C,0),1),"-")</f>
        <v>-</v>
      </c>
      <c r="F27" t="s">
        <v>2808</v>
      </c>
      <c r="G27">
        <v>43</v>
      </c>
      <c r="H2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7"/>
    </row>
    <row r="28" spans="1:9" x14ac:dyDescent="0.25">
      <c r="A28">
        <v>27</v>
      </c>
      <c r="B28" t="s">
        <v>2868</v>
      </c>
      <c r="C28" t="s">
        <v>4350</v>
      </c>
      <c r="D28" t="s">
        <v>2869</v>
      </c>
      <c r="E28" t="str">
        <f>IFERROR(INDEX([3]Youtube___Daily_Videos!$F:$F,MATCH(Youtube___Daily_Videos[[#This Row],[YouTube URL]],[3]Youtube___Daily_Videos!$C:$C,0),1),"-")</f>
        <v>-</v>
      </c>
      <c r="F28" t="s">
        <v>2800</v>
      </c>
      <c r="G28">
        <v>105</v>
      </c>
      <c r="H2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8"/>
    </row>
    <row r="29" spans="1:9" x14ac:dyDescent="0.25">
      <c r="A29">
        <v>28</v>
      </c>
      <c r="B29" t="s">
        <v>4661</v>
      </c>
      <c r="C29" t="s">
        <v>641</v>
      </c>
      <c r="D29" t="s">
        <v>4626</v>
      </c>
      <c r="E29" t="str">
        <f>IFERROR(INDEX([3]Youtube___Daily_Videos!$F:$F,MATCH(Youtube___Daily_Videos[[#This Row],[YouTube URL]],[3]Youtube___Daily_Videos!$C:$C,0),1),"-")</f>
        <v>-</v>
      </c>
      <c r="F29" t="s">
        <v>2783</v>
      </c>
      <c r="G29">
        <v>5</v>
      </c>
      <c r="H2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9"/>
    </row>
    <row r="30" spans="1:9" x14ac:dyDescent="0.25">
      <c r="A30">
        <v>29</v>
      </c>
      <c r="B30" t="s">
        <v>4414</v>
      </c>
      <c r="C30" t="s">
        <v>4476</v>
      </c>
      <c r="D30" t="s">
        <v>4015</v>
      </c>
      <c r="E30" t="str">
        <f>IFERROR(INDEX([3]Youtube___Daily_Videos!$F:$F,MATCH(Youtube___Daily_Videos[[#This Row],[YouTube URL]],[3]Youtube___Daily_Videos!$C:$C,0),1),"-")</f>
        <v>-</v>
      </c>
      <c r="F30" t="s">
        <v>2790</v>
      </c>
      <c r="G30">
        <v>9</v>
      </c>
      <c r="H3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0"/>
    </row>
    <row r="31" spans="1:9" x14ac:dyDescent="0.25">
      <c r="A31">
        <v>30</v>
      </c>
      <c r="B31" t="s">
        <v>2793</v>
      </c>
      <c r="C31" t="s">
        <v>4354</v>
      </c>
      <c r="D31" t="s">
        <v>87</v>
      </c>
      <c r="E31" t="str">
        <f>IFERROR(INDEX([3]Youtube___Daily_Videos!$F:$F,MATCH(Youtube___Daily_Videos[[#This Row],[YouTube URL]],[3]Youtube___Daily_Videos!$C:$C,0),1),"-")</f>
        <v>-</v>
      </c>
      <c r="F31" t="s">
        <v>2821</v>
      </c>
      <c r="G31">
        <v>131</v>
      </c>
      <c r="H3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1"/>
    </row>
    <row r="32" spans="1:9" x14ac:dyDescent="0.25">
      <c r="A32">
        <v>31</v>
      </c>
      <c r="B32" t="s">
        <v>2806</v>
      </c>
      <c r="C32" t="s">
        <v>4358</v>
      </c>
      <c r="D32" t="s">
        <v>2807</v>
      </c>
      <c r="E32" t="str">
        <f>IFERROR(INDEX([3]Youtube___Daily_Videos!$F:$F,MATCH(Youtube___Daily_Videos[[#This Row],[YouTube URL]],[3]Youtube___Daily_Videos!$C:$C,0),1),"-")</f>
        <v>-</v>
      </c>
      <c r="F32" t="s">
        <v>3901</v>
      </c>
      <c r="G32">
        <v>102</v>
      </c>
      <c r="H3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2"/>
    </row>
    <row r="33" spans="1:9" x14ac:dyDescent="0.25">
      <c r="A33">
        <v>32</v>
      </c>
      <c r="B33" t="s">
        <v>2781</v>
      </c>
      <c r="C33" t="s">
        <v>4353</v>
      </c>
      <c r="D33" t="s">
        <v>2782</v>
      </c>
      <c r="E33">
        <f>IFERROR(INDEX([3]Youtube___Daily_Videos!$F:$F,MATCH(Youtube___Daily_Videos[[#This Row],[YouTube URL]],[3]Youtube___Daily_Videos!$C:$C,0),1),"-")</f>
        <v>5</v>
      </c>
      <c r="F33" t="s">
        <v>2798</v>
      </c>
      <c r="G33">
        <v>72</v>
      </c>
      <c r="H3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45873</v>
      </c>
      <c r="I33"/>
    </row>
    <row r="34" spans="1:9" x14ac:dyDescent="0.25">
      <c r="A34">
        <v>33</v>
      </c>
      <c r="B34" t="s">
        <v>2835</v>
      </c>
      <c r="C34" t="s">
        <v>159</v>
      </c>
      <c r="D34" t="s">
        <v>2836</v>
      </c>
      <c r="E34">
        <f>IFERROR(INDEX([3]Youtube___Daily_Videos!$F:$F,MATCH(Youtube___Daily_Videos[[#This Row],[YouTube URL]],[3]Youtube___Daily_Videos!$C:$C,0),1),"-")</f>
        <v>17</v>
      </c>
      <c r="F34" t="s">
        <v>3902</v>
      </c>
      <c r="G34">
        <v>112</v>
      </c>
      <c r="H3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45666</v>
      </c>
      <c r="I34"/>
    </row>
    <row r="35" spans="1:9" x14ac:dyDescent="0.25">
      <c r="A35">
        <v>34</v>
      </c>
      <c r="B35" t="s">
        <v>2856</v>
      </c>
      <c r="C35" t="s">
        <v>237</v>
      </c>
      <c r="D35" t="s">
        <v>2857</v>
      </c>
      <c r="E35" t="str">
        <f>IFERROR(INDEX([3]Youtube___Daily_Videos!$F:$F,MATCH(Youtube___Daily_Videos[[#This Row],[YouTube URL]],[3]Youtube___Daily_Videos!$C:$C,0),1),"-")</f>
        <v>-</v>
      </c>
      <c r="F35" t="s">
        <v>2818</v>
      </c>
      <c r="G35">
        <v>28</v>
      </c>
      <c r="H3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5"/>
    </row>
    <row r="36" spans="1:9" x14ac:dyDescent="0.25">
      <c r="A36">
        <v>35</v>
      </c>
      <c r="B36" t="s">
        <v>2829</v>
      </c>
      <c r="C36" t="s">
        <v>4361</v>
      </c>
      <c r="D36" t="s">
        <v>2830</v>
      </c>
      <c r="E36" t="str">
        <f>IFERROR(INDEX([3]Youtube___Daily_Videos!$F:$F,MATCH(Youtube___Daily_Videos[[#This Row],[YouTube URL]],[3]Youtube___Daily_Videos!$C:$C,0),1),"-")</f>
        <v>-</v>
      </c>
      <c r="F36" t="s">
        <v>2832</v>
      </c>
      <c r="G36">
        <v>47</v>
      </c>
      <c r="H3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6"/>
    </row>
    <row r="37" spans="1:9" x14ac:dyDescent="0.25">
      <c r="A37">
        <v>36</v>
      </c>
      <c r="B37" t="s">
        <v>2797</v>
      </c>
      <c r="C37" t="s">
        <v>4355</v>
      </c>
      <c r="D37" t="s">
        <v>27</v>
      </c>
      <c r="E37" t="str">
        <f>IFERROR(INDEX([3]Youtube___Daily_Videos!$F:$F,MATCH(Youtube___Daily_Videos[[#This Row],[YouTube URL]],[3]Youtube___Daily_Videos!$C:$C,0),1),"-")</f>
        <v>-</v>
      </c>
      <c r="F37" t="s">
        <v>3900</v>
      </c>
      <c r="G37">
        <v>104</v>
      </c>
      <c r="H3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7"/>
    </row>
    <row r="38" spans="1:9" x14ac:dyDescent="0.25">
      <c r="A38">
        <v>37</v>
      </c>
      <c r="B38" t="s">
        <v>5044</v>
      </c>
      <c r="C38" t="s">
        <v>5045</v>
      </c>
      <c r="D38" t="s">
        <v>5046</v>
      </c>
      <c r="E38" t="str">
        <f>IFERROR(INDEX([3]Youtube___Daily_Videos!$F:$F,MATCH(Youtube___Daily_Videos[[#This Row],[YouTube URL]],[3]Youtube___Daily_Videos!$C:$C,0),1),"-")</f>
        <v>-</v>
      </c>
      <c r="F38" t="s">
        <v>4374</v>
      </c>
      <c r="G38">
        <v>145</v>
      </c>
      <c r="H3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8"/>
    </row>
    <row r="39" spans="1:9" x14ac:dyDescent="0.25">
      <c r="A39">
        <v>38</v>
      </c>
      <c r="B39" t="s">
        <v>2819</v>
      </c>
      <c r="C39" t="s">
        <v>33</v>
      </c>
      <c r="D39" t="s">
        <v>2820</v>
      </c>
      <c r="E39" t="str">
        <f>IFERROR(INDEX([3]Youtube___Daily_Videos!$F:$F,MATCH(Youtube___Daily_Videos[[#This Row],[YouTube URL]],[3]Youtube___Daily_Videos!$C:$C,0),1),"-")</f>
        <v>-</v>
      </c>
      <c r="F39" t="s">
        <v>2816</v>
      </c>
      <c r="G39">
        <v>75</v>
      </c>
      <c r="H3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9"/>
    </row>
    <row r="40" spans="1:9" x14ac:dyDescent="0.25">
      <c r="A40">
        <v>39</v>
      </c>
      <c r="B40" t="s">
        <v>2809</v>
      </c>
      <c r="C40" t="s">
        <v>4360</v>
      </c>
      <c r="D40" t="s">
        <v>2810</v>
      </c>
      <c r="E40" t="str">
        <f>IFERROR(INDEX([3]Youtube___Daily_Videos!$F:$F,MATCH(Youtube___Daily_Videos[[#This Row],[YouTube URL]],[3]Youtube___Daily_Videos!$C:$C,0),1),"-")</f>
        <v>-</v>
      </c>
      <c r="F40" t="s">
        <v>3903</v>
      </c>
      <c r="G40">
        <v>54</v>
      </c>
      <c r="H4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0"/>
    </row>
    <row r="41" spans="1:9" x14ac:dyDescent="0.25">
      <c r="A41">
        <v>40</v>
      </c>
      <c r="B41" t="s">
        <v>4224</v>
      </c>
      <c r="C41" t="s">
        <v>4365</v>
      </c>
      <c r="D41" t="s">
        <v>4225</v>
      </c>
      <c r="E41">
        <f>IFERROR(INDEX([3]Youtube___Daily_Videos!$F:$F,MATCH(Youtube___Daily_Videos[[#This Row],[YouTube URL]],[3]Youtube___Daily_Videos!$C:$C,0),1),"-")</f>
        <v>63</v>
      </c>
      <c r="F41" t="s">
        <v>3723</v>
      </c>
      <c r="G41">
        <v>14</v>
      </c>
      <c r="H4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1"/>
    </row>
    <row r="42" spans="1:9" x14ac:dyDescent="0.25">
      <c r="A42">
        <v>41</v>
      </c>
      <c r="B42" t="s">
        <v>3724</v>
      </c>
      <c r="C42" t="s">
        <v>3383</v>
      </c>
      <c r="D42" t="s">
        <v>3382</v>
      </c>
      <c r="E42" t="str">
        <f>IFERROR(INDEX([3]Youtube___Daily_Videos!$F:$F,MATCH(Youtube___Daily_Videos[[#This Row],[YouTube URL]],[3]Youtube___Daily_Videos!$C:$C,0),1),"-")</f>
        <v>-</v>
      </c>
      <c r="F42" t="s">
        <v>4034</v>
      </c>
      <c r="G42">
        <v>207</v>
      </c>
      <c r="H4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2"/>
    </row>
    <row r="43" spans="1:9" x14ac:dyDescent="0.25">
      <c r="A43">
        <v>42</v>
      </c>
      <c r="B43" t="s">
        <v>2822</v>
      </c>
      <c r="C43" t="s">
        <v>4359</v>
      </c>
      <c r="D43" t="s">
        <v>2823</v>
      </c>
      <c r="E43" t="str">
        <f>IFERROR(INDEX([3]Youtube___Daily_Videos!$F:$F,MATCH(Youtube___Daily_Videos[[#This Row],[YouTube URL]],[3]Youtube___Daily_Videos!$C:$C,0),1),"-")</f>
        <v>-</v>
      </c>
      <c r="F43" t="s">
        <v>2812</v>
      </c>
      <c r="G43">
        <v>100</v>
      </c>
      <c r="H4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3"/>
    </row>
    <row r="44" spans="1:9" x14ac:dyDescent="0.25">
      <c r="A44">
        <v>43</v>
      </c>
      <c r="B44" t="s">
        <v>2801</v>
      </c>
      <c r="C44" t="s">
        <v>39</v>
      </c>
      <c r="D44" t="s">
        <v>2802</v>
      </c>
      <c r="E44" t="str">
        <f>IFERROR(INDEX([3]Youtube___Daily_Videos!$F:$F,MATCH(Youtube___Daily_Videos[[#This Row],[YouTube URL]],[3]Youtube___Daily_Videos!$C:$C,0),1),"-")</f>
        <v>-</v>
      </c>
      <c r="F44" t="s">
        <v>2828</v>
      </c>
      <c r="G44">
        <v>99</v>
      </c>
      <c r="H4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4"/>
    </row>
    <row r="45" spans="1:9" x14ac:dyDescent="0.25">
      <c r="A45">
        <v>44</v>
      </c>
      <c r="B45" t="s">
        <v>3910</v>
      </c>
      <c r="C45" t="s">
        <v>4366</v>
      </c>
      <c r="D45" t="s">
        <v>1018</v>
      </c>
      <c r="E45" t="str">
        <f>IFERROR(INDEX([3]Youtube___Daily_Videos!$F:$F,MATCH(Youtube___Daily_Videos[[#This Row],[YouTube URL]],[3]Youtube___Daily_Videos!$C:$C,0),1),"-")</f>
        <v>-</v>
      </c>
      <c r="F45" t="s">
        <v>3931</v>
      </c>
      <c r="G45">
        <v>13</v>
      </c>
      <c r="H4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5"/>
    </row>
    <row r="46" spans="1:9" x14ac:dyDescent="0.25">
      <c r="A46">
        <v>45</v>
      </c>
      <c r="B46" t="s">
        <v>2827</v>
      </c>
      <c r="C46" t="s">
        <v>93</v>
      </c>
      <c r="D46" t="s">
        <v>94</v>
      </c>
      <c r="E46" t="str">
        <f>IFERROR(INDEX([3]Youtube___Daily_Videos!$F:$F,MATCH(Youtube___Daily_Videos[[#This Row],[YouTube URL]],[3]Youtube___Daily_Videos!$C:$C,0),1),"-")</f>
        <v>-</v>
      </c>
      <c r="F46" t="s">
        <v>2843</v>
      </c>
      <c r="G46">
        <v>23</v>
      </c>
      <c r="H4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6"/>
    </row>
    <row r="47" spans="1:9" x14ac:dyDescent="0.25">
      <c r="A47">
        <v>46</v>
      </c>
      <c r="B47" t="s">
        <v>4902</v>
      </c>
      <c r="C47" t="s">
        <v>4903</v>
      </c>
      <c r="D47" t="s">
        <v>4904</v>
      </c>
      <c r="E47" t="str">
        <f>IFERROR(INDEX([3]Youtube___Daily_Videos!$F:$F,MATCH(Youtube___Daily_Videos[[#This Row],[YouTube URL]],[3]Youtube___Daily_Videos!$C:$C,0),1),"-")</f>
        <v>-</v>
      </c>
      <c r="F47" t="s">
        <v>3932</v>
      </c>
      <c r="G47">
        <v>11</v>
      </c>
      <c r="H4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7"/>
    </row>
    <row r="48" spans="1:9" x14ac:dyDescent="0.25">
      <c r="A48">
        <v>47</v>
      </c>
      <c r="B48" t="s">
        <v>4370</v>
      </c>
      <c r="C48" t="s">
        <v>4371</v>
      </c>
      <c r="D48" t="s">
        <v>4372</v>
      </c>
      <c r="E48" t="str">
        <f>IFERROR(INDEX([3]Youtube___Daily_Videos!$F:$F,MATCH(Youtube___Daily_Videos[[#This Row],[YouTube URL]],[3]Youtube___Daily_Videos!$C:$C,0),1),"-")</f>
        <v>-</v>
      </c>
      <c r="F48" t="s">
        <v>3807</v>
      </c>
      <c r="G48">
        <v>10</v>
      </c>
      <c r="H4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8"/>
    </row>
    <row r="49" spans="1:9" x14ac:dyDescent="0.25">
      <c r="A49">
        <v>48</v>
      </c>
      <c r="B49" t="s">
        <v>5117</v>
      </c>
      <c r="C49" t="s">
        <v>561</v>
      </c>
      <c r="D49" t="s">
        <v>4896</v>
      </c>
      <c r="E49" t="str">
        <f>IFERROR(INDEX([3]Youtube___Daily_Videos!$F:$F,MATCH(Youtube___Daily_Videos[[#This Row],[YouTube URL]],[3]Youtube___Daily_Videos!$C:$C,0),1),"-")</f>
        <v>-</v>
      </c>
      <c r="F49" t="s">
        <v>2780</v>
      </c>
      <c r="G49">
        <v>232</v>
      </c>
      <c r="H4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9"/>
    </row>
    <row r="50" spans="1:9" x14ac:dyDescent="0.25">
      <c r="A50">
        <v>49</v>
      </c>
      <c r="B50" t="s">
        <v>5047</v>
      </c>
      <c r="C50" t="s">
        <v>5048</v>
      </c>
      <c r="D50" t="s">
        <v>5049</v>
      </c>
      <c r="E50" t="str">
        <f>IFERROR(INDEX([3]Youtube___Daily_Videos!$F:$F,MATCH(Youtube___Daily_Videos[[#This Row],[YouTube URL]],[3]Youtube___Daily_Videos!$C:$C,0),1),"-")</f>
        <v>-</v>
      </c>
      <c r="F50" t="s">
        <v>4221</v>
      </c>
      <c r="G50">
        <v>284</v>
      </c>
      <c r="H5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0"/>
    </row>
    <row r="51" spans="1:9" x14ac:dyDescent="0.25">
      <c r="A51">
        <v>50</v>
      </c>
      <c r="B51" t="s">
        <v>5118</v>
      </c>
      <c r="C51" t="s">
        <v>652</v>
      </c>
      <c r="D51" t="s">
        <v>5119</v>
      </c>
      <c r="E51" t="str">
        <f>IFERROR(INDEX([3]Youtube___Daily_Videos!$F:$F,MATCH(Youtube___Daily_Videos[[#This Row],[YouTube URL]],[3]Youtube___Daily_Videos!$C:$C,0),1),"-")</f>
        <v>-</v>
      </c>
      <c r="F51" t="s">
        <v>2780</v>
      </c>
      <c r="G51">
        <v>160</v>
      </c>
      <c r="H5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1"/>
    </row>
    <row r="52" spans="1:9" x14ac:dyDescent="0.25">
      <c r="A52">
        <v>51</v>
      </c>
      <c r="B52" t="s">
        <v>4900</v>
      </c>
      <c r="C52" t="s">
        <v>743</v>
      </c>
      <c r="D52" t="s">
        <v>4901</v>
      </c>
      <c r="E52" t="str">
        <f>IFERROR(INDEX([3]Youtube___Daily_Videos!$F:$F,MATCH(Youtube___Daily_Videos[[#This Row],[YouTube URL]],[3]Youtube___Daily_Videos!$C:$C,0),1),"-")</f>
        <v>-</v>
      </c>
      <c r="F52" t="s">
        <v>3726</v>
      </c>
      <c r="G52">
        <v>28</v>
      </c>
      <c r="H5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2"/>
    </row>
    <row r="53" spans="1:9" x14ac:dyDescent="0.25">
      <c r="A53">
        <v>52</v>
      </c>
      <c r="B53" t="s">
        <v>3725</v>
      </c>
      <c r="C53" t="s">
        <v>170</v>
      </c>
      <c r="D53" t="s">
        <v>171</v>
      </c>
      <c r="E53" t="str">
        <f>IFERROR(INDEX([3]Youtube___Daily_Videos!$F:$F,MATCH(Youtube___Daily_Videos[[#This Row],[YouTube URL]],[3]Youtube___Daily_Videos!$C:$C,0),1),"-")</f>
        <v>-</v>
      </c>
      <c r="F53" t="s">
        <v>2834</v>
      </c>
      <c r="G53">
        <v>26</v>
      </c>
      <c r="H5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3"/>
    </row>
    <row r="54" spans="1:9" x14ac:dyDescent="0.25">
      <c r="A54">
        <v>53</v>
      </c>
      <c r="B54" t="s">
        <v>5051</v>
      </c>
      <c r="C54" t="s">
        <v>5120</v>
      </c>
      <c r="D54" t="s">
        <v>5121</v>
      </c>
      <c r="E54" t="str">
        <f>IFERROR(INDEX([3]Youtube___Daily_Videos!$F:$F,MATCH(Youtube___Daily_Videos[[#This Row],[YouTube URL]],[3]Youtube___Daily_Videos!$C:$C,0),1),"-")</f>
        <v>-</v>
      </c>
      <c r="F54" t="s">
        <v>4886</v>
      </c>
      <c r="G54">
        <v>2</v>
      </c>
      <c r="H5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4"/>
    </row>
    <row r="55" spans="1:9" x14ac:dyDescent="0.25">
      <c r="A55">
        <v>54</v>
      </c>
      <c r="B55" t="s">
        <v>3908</v>
      </c>
      <c r="C55" t="s">
        <v>561</v>
      </c>
      <c r="D55" t="s">
        <v>3909</v>
      </c>
      <c r="E55" t="str">
        <f>IFERROR(INDEX([3]Youtube___Daily_Videos!$F:$F,MATCH(Youtube___Daily_Videos[[#This Row],[YouTube URL]],[3]Youtube___Daily_Videos!$C:$C,0),1),"-")</f>
        <v>-</v>
      </c>
      <c r="F55" t="s">
        <v>3811</v>
      </c>
      <c r="G55">
        <v>60</v>
      </c>
      <c r="H5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5"/>
    </row>
    <row r="56" spans="1:9" x14ac:dyDescent="0.25">
      <c r="A56">
        <v>55</v>
      </c>
      <c r="B56" t="s">
        <v>2847</v>
      </c>
      <c r="C56" t="s">
        <v>4609</v>
      </c>
      <c r="D56" t="s">
        <v>4610</v>
      </c>
      <c r="E56" t="str">
        <f>IFERROR(INDEX([3]Youtube___Daily_Videos!$F:$F,MATCH(Youtube___Daily_Videos[[#This Row],[YouTube URL]],[3]Youtube___Daily_Videos!$C:$C,0),1),"-")</f>
        <v>-</v>
      </c>
      <c r="F56" t="s">
        <v>2864</v>
      </c>
      <c r="G56">
        <v>17</v>
      </c>
      <c r="H5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6"/>
    </row>
    <row r="57" spans="1:9" x14ac:dyDescent="0.25">
      <c r="A57">
        <v>56</v>
      </c>
      <c r="B57" t="s">
        <v>4662</v>
      </c>
      <c r="C57" t="s">
        <v>561</v>
      </c>
      <c r="D57" t="s">
        <v>4663</v>
      </c>
      <c r="E57" t="str">
        <f>IFERROR(INDEX([3]Youtube___Daily_Videos!$F:$F,MATCH(Youtube___Daily_Videos[[#This Row],[YouTube URL]],[3]Youtube___Daily_Videos!$C:$C,0),1),"-")</f>
        <v>-</v>
      </c>
      <c r="F57" t="s">
        <v>4617</v>
      </c>
      <c r="G57">
        <v>58</v>
      </c>
      <c r="H5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7"/>
    </row>
    <row r="58" spans="1:9" x14ac:dyDescent="0.25">
      <c r="A58">
        <v>57</v>
      </c>
      <c r="B58" t="s">
        <v>2839</v>
      </c>
      <c r="C58" t="s">
        <v>2662</v>
      </c>
      <c r="D58" t="s">
        <v>2840</v>
      </c>
      <c r="E58" t="str">
        <f>IFERROR(INDEX([3]Youtube___Daily_Videos!$F:$F,MATCH(Youtube___Daily_Videos[[#This Row],[YouTube URL]],[3]Youtube___Daily_Videos!$C:$C,0),1),"-")</f>
        <v>-</v>
      </c>
      <c r="F58" t="s">
        <v>3906</v>
      </c>
      <c r="G58">
        <v>25</v>
      </c>
      <c r="H5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8"/>
    </row>
    <row r="59" spans="1:9" x14ac:dyDescent="0.25">
      <c r="A59">
        <v>58</v>
      </c>
      <c r="B59" t="s">
        <v>4621</v>
      </c>
      <c r="C59" t="s">
        <v>561</v>
      </c>
      <c r="D59" t="s">
        <v>4622</v>
      </c>
      <c r="E59" t="str">
        <f>IFERROR(INDEX([3]Youtube___Daily_Videos!$F:$F,MATCH(Youtube___Daily_Videos[[#This Row],[YouTube URL]],[3]Youtube___Daily_Videos!$C:$C,0),1),"-")</f>
        <v>-</v>
      </c>
      <c r="F59" t="s">
        <v>4419</v>
      </c>
      <c r="G59">
        <v>36</v>
      </c>
      <c r="H5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9"/>
    </row>
    <row r="60" spans="1:9" x14ac:dyDescent="0.25">
      <c r="A60">
        <v>59</v>
      </c>
      <c r="B60" t="s">
        <v>2861</v>
      </c>
      <c r="C60" t="s">
        <v>4368</v>
      </c>
      <c r="D60" t="s">
        <v>2862</v>
      </c>
      <c r="E60" t="str">
        <f>IFERROR(INDEX([3]Youtube___Daily_Videos!$F:$F,MATCH(Youtube___Daily_Videos[[#This Row],[YouTube URL]],[3]Youtube___Daily_Videos!$C:$C,0),1),"-")</f>
        <v>-</v>
      </c>
      <c r="F60" t="s">
        <v>4612</v>
      </c>
      <c r="G60">
        <v>40</v>
      </c>
      <c r="H6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0"/>
    </row>
    <row r="61" spans="1:9" x14ac:dyDescent="0.25">
      <c r="A61">
        <v>60</v>
      </c>
      <c r="B61" t="s">
        <v>2844</v>
      </c>
      <c r="C61" t="s">
        <v>4350</v>
      </c>
      <c r="D61" t="s">
        <v>2845</v>
      </c>
      <c r="E61" t="str">
        <f>IFERROR(INDEX([3]Youtube___Daily_Videos!$F:$F,MATCH(Youtube___Daily_Videos[[#This Row],[YouTube URL]],[3]Youtube___Daily_Videos!$C:$C,0),1),"-")</f>
        <v>-</v>
      </c>
      <c r="F61" t="s">
        <v>4616</v>
      </c>
      <c r="G61">
        <v>65</v>
      </c>
      <c r="H6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1"/>
    </row>
    <row r="62" spans="1:9" x14ac:dyDescent="0.25">
      <c r="A62">
        <v>61</v>
      </c>
      <c r="B62" t="s">
        <v>2859</v>
      </c>
      <c r="C62" t="s">
        <v>69</v>
      </c>
      <c r="D62" t="s">
        <v>2860</v>
      </c>
      <c r="E62" t="str">
        <f>IFERROR(INDEX([3]Youtube___Daily_Videos!$F:$F,MATCH(Youtube___Daily_Videos[[#This Row],[YouTube URL]],[3]Youtube___Daily_Videos!$C:$C,0),1),"-")</f>
        <v>-</v>
      </c>
      <c r="F62" t="s">
        <v>4544</v>
      </c>
      <c r="G62">
        <v>23</v>
      </c>
      <c r="H6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2"/>
    </row>
    <row r="63" spans="1:9" x14ac:dyDescent="0.25">
      <c r="A63">
        <v>62</v>
      </c>
      <c r="B63" t="s">
        <v>2846</v>
      </c>
      <c r="C63" t="s">
        <v>4362</v>
      </c>
      <c r="D63" t="s">
        <v>314</v>
      </c>
      <c r="E63" t="str">
        <f>IFERROR(INDEX([3]Youtube___Daily_Videos!$F:$F,MATCH(Youtube___Daily_Videos[[#This Row],[YouTube URL]],[3]Youtube___Daily_Videos!$C:$C,0),1),"-")</f>
        <v>-</v>
      </c>
      <c r="F63" t="s">
        <v>2872</v>
      </c>
      <c r="G63">
        <v>95</v>
      </c>
      <c r="H6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3"/>
    </row>
    <row r="64" spans="1:9" x14ac:dyDescent="0.25">
      <c r="A64">
        <v>63</v>
      </c>
      <c r="B64" t="s">
        <v>2850</v>
      </c>
      <c r="C64" t="s">
        <v>4356</v>
      </c>
      <c r="D64" t="s">
        <v>2851</v>
      </c>
      <c r="E64" t="str">
        <f>IFERROR(INDEX([3]Youtube___Daily_Videos!$F:$F,MATCH(Youtube___Daily_Videos[[#This Row],[YouTube URL]],[3]Youtube___Daily_Videos!$C:$C,0),1),"-")</f>
        <v>-</v>
      </c>
      <c r="F64" t="s">
        <v>4614</v>
      </c>
      <c r="G64">
        <v>32</v>
      </c>
      <c r="H6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4"/>
    </row>
    <row r="65" spans="1:9" x14ac:dyDescent="0.25">
      <c r="A65">
        <v>64</v>
      </c>
      <c r="B65" t="s">
        <v>2854</v>
      </c>
      <c r="C65" t="s">
        <v>4367</v>
      </c>
      <c r="D65" t="s">
        <v>2855</v>
      </c>
      <c r="E65">
        <f>IFERROR(INDEX([3]Youtube___Daily_Videos!$F:$F,MATCH(Youtube___Daily_Videos[[#This Row],[YouTube URL]],[3]Youtube___Daily_Videos!$C:$C,0),1),"-")</f>
        <v>51</v>
      </c>
      <c r="F65" t="s">
        <v>2873</v>
      </c>
      <c r="G65">
        <v>70</v>
      </c>
      <c r="H6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45879</v>
      </c>
      <c r="I65"/>
    </row>
    <row r="66" spans="1:9" x14ac:dyDescent="0.25">
      <c r="A66">
        <v>65</v>
      </c>
      <c r="B66" t="s">
        <v>4415</v>
      </c>
      <c r="C66" t="s">
        <v>4416</v>
      </c>
      <c r="D66" t="s">
        <v>4417</v>
      </c>
      <c r="E66" t="str">
        <f>IFERROR(INDEX([3]Youtube___Daily_Videos!$F:$F,MATCH(Youtube___Daily_Videos[[#This Row],[YouTube URL]],[3]Youtube___Daily_Videos!$C:$C,0),1),"-")</f>
        <v>-</v>
      </c>
      <c r="F66" t="s">
        <v>4545</v>
      </c>
      <c r="G66">
        <v>8</v>
      </c>
      <c r="H6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6"/>
    </row>
    <row r="67" spans="1:9" x14ac:dyDescent="0.25">
      <c r="A67">
        <v>66</v>
      </c>
      <c r="B67" t="s">
        <v>5060</v>
      </c>
      <c r="C67" t="s">
        <v>5061</v>
      </c>
      <c r="D67" t="s">
        <v>5062</v>
      </c>
      <c r="E67" t="str">
        <f>IFERROR(INDEX([3]Youtube___Daily_Videos!$F:$F,MATCH(Youtube___Daily_Videos[[#This Row],[YouTube URL]],[3]Youtube___Daily_Videos!$C:$C,0),1),"-")</f>
        <v>-</v>
      </c>
      <c r="F67" t="s">
        <v>5122</v>
      </c>
      <c r="G67">
        <v>95</v>
      </c>
      <c r="H6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7"/>
    </row>
    <row r="68" spans="1:9" x14ac:dyDescent="0.25">
      <c r="A68">
        <v>67</v>
      </c>
      <c r="B68" t="s">
        <v>4905</v>
      </c>
      <c r="C68" t="s">
        <v>36</v>
      </c>
      <c r="D68" t="s">
        <v>2746</v>
      </c>
      <c r="E68" t="str">
        <f>IFERROR(INDEX([3]Youtube___Daily_Videos!$F:$F,MATCH(Youtube___Daily_Videos[[#This Row],[YouTube URL]],[3]Youtube___Daily_Videos!$C:$C,0),1),"-")</f>
        <v>-</v>
      </c>
      <c r="F68" t="s">
        <v>5123</v>
      </c>
      <c r="G68">
        <v>40</v>
      </c>
      <c r="H6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8"/>
    </row>
    <row r="69" spans="1:9" x14ac:dyDescent="0.25">
      <c r="A69">
        <v>68</v>
      </c>
      <c r="B69" t="s">
        <v>2849</v>
      </c>
      <c r="C69" t="s">
        <v>4363</v>
      </c>
      <c r="D69" t="s">
        <v>475</v>
      </c>
      <c r="E69" t="str">
        <f>IFERROR(INDEX([3]Youtube___Daily_Videos!$F:$F,MATCH(Youtube___Daily_Videos[[#This Row],[YouTube URL]],[3]Youtube___Daily_Videos!$C:$C,0),1),"-")</f>
        <v>-</v>
      </c>
      <c r="F69" t="s">
        <v>3907</v>
      </c>
      <c r="G69">
        <v>32</v>
      </c>
      <c r="H6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9"/>
    </row>
    <row r="70" spans="1:9" x14ac:dyDescent="0.25">
      <c r="A70">
        <v>69</v>
      </c>
      <c r="B70" t="s">
        <v>2841</v>
      </c>
      <c r="C70" t="s">
        <v>476</v>
      </c>
      <c r="D70" t="s">
        <v>2842</v>
      </c>
      <c r="E70">
        <f>IFERROR(INDEX([3]Youtube___Daily_Videos!$F:$F,MATCH(Youtube___Daily_Videos[[#This Row],[YouTube URL]],[3]Youtube___Daily_Videos!$C:$C,0),1),"-")</f>
        <v>10</v>
      </c>
      <c r="F70" t="s">
        <v>4613</v>
      </c>
      <c r="G70">
        <v>136</v>
      </c>
      <c r="H7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45772</v>
      </c>
      <c r="I70"/>
    </row>
    <row r="71" spans="1:9" x14ac:dyDescent="0.25">
      <c r="A71">
        <v>70</v>
      </c>
      <c r="B71" t="s">
        <v>4895</v>
      </c>
      <c r="C71" t="s">
        <v>561</v>
      </c>
      <c r="D71" t="s">
        <v>4896</v>
      </c>
      <c r="E71" t="str">
        <f>IFERROR(INDEX([3]Youtube___Daily_Videos!$F:$F,MATCH(Youtube___Daily_Videos[[#This Row],[YouTube URL]],[3]Youtube___Daily_Videos!$C:$C,0),1),"-")</f>
        <v>-</v>
      </c>
      <c r="F71" t="s">
        <v>2858</v>
      </c>
      <c r="G71">
        <v>22</v>
      </c>
      <c r="H7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1"/>
    </row>
    <row r="72" spans="1:9" x14ac:dyDescent="0.25">
      <c r="A72">
        <v>71</v>
      </c>
      <c r="B72" t="s">
        <v>2866</v>
      </c>
      <c r="C72" t="s">
        <v>4364</v>
      </c>
      <c r="D72" t="s">
        <v>2867</v>
      </c>
      <c r="E72" t="str">
        <f>IFERROR(INDEX([3]Youtube___Daily_Videos!$F:$F,MATCH(Youtube___Daily_Videos[[#This Row],[YouTube URL]],[3]Youtube___Daily_Videos!$C:$C,0),1),"-")</f>
        <v>-</v>
      </c>
      <c r="F72" t="s">
        <v>2837</v>
      </c>
      <c r="G72">
        <v>21</v>
      </c>
      <c r="H7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2"/>
    </row>
    <row r="73" spans="1:9" x14ac:dyDescent="0.25">
      <c r="A73">
        <v>72</v>
      </c>
      <c r="B73" t="s">
        <v>5052</v>
      </c>
      <c r="C73" t="s">
        <v>4071</v>
      </c>
      <c r="D73" t="s">
        <v>5053</v>
      </c>
      <c r="E73" t="str">
        <f>IFERROR(INDEX([3]Youtube___Daily_Videos!$F:$F,MATCH(Youtube___Daily_Videos[[#This Row],[YouTube URL]],[3]Youtube___Daily_Videos!$C:$C,0),1),"-")</f>
        <v>-</v>
      </c>
      <c r="F73" t="s">
        <v>4619</v>
      </c>
      <c r="G73">
        <v>2</v>
      </c>
      <c r="H7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3"/>
    </row>
    <row r="74" spans="1:9" x14ac:dyDescent="0.25">
      <c r="A74">
        <v>73</v>
      </c>
      <c r="B74" t="s">
        <v>5124</v>
      </c>
      <c r="C74" t="s">
        <v>833</v>
      </c>
      <c r="D74" t="s">
        <v>5125</v>
      </c>
      <c r="E74" t="str">
        <f>IFERROR(INDEX([3]Youtube___Daily_Videos!$F:$F,MATCH(Youtube___Daily_Videos[[#This Row],[YouTube URL]],[3]Youtube___Daily_Videos!$C:$C,0),1),"-")</f>
        <v>-</v>
      </c>
      <c r="F74" t="s">
        <v>2780</v>
      </c>
      <c r="G74">
        <v>65</v>
      </c>
      <c r="H7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4"/>
    </row>
    <row r="75" spans="1:9" x14ac:dyDescent="0.25">
      <c r="A75">
        <v>74</v>
      </c>
      <c r="B75" t="s">
        <v>3808</v>
      </c>
      <c r="C75" t="s">
        <v>3809</v>
      </c>
      <c r="D75" t="s">
        <v>3810</v>
      </c>
      <c r="E75" t="str">
        <f>IFERROR(INDEX([3]Youtube___Daily_Videos!$F:$F,MATCH(Youtube___Daily_Videos[[#This Row],[YouTube URL]],[3]Youtube___Daily_Videos!$C:$C,0),1),"-")</f>
        <v>-</v>
      </c>
      <c r="F75" t="s">
        <v>4625</v>
      </c>
      <c r="G75">
        <v>97</v>
      </c>
      <c r="H7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5"/>
    </row>
    <row r="76" spans="1:9" x14ac:dyDescent="0.25">
      <c r="A76">
        <v>75</v>
      </c>
      <c r="B76" t="s">
        <v>3812</v>
      </c>
      <c r="C76" t="s">
        <v>3813</v>
      </c>
      <c r="D76" t="s">
        <v>3814</v>
      </c>
      <c r="E76" t="str">
        <f>IFERROR(INDEX([3]Youtube___Daily_Videos!$F:$F,MATCH(Youtube___Daily_Videos[[#This Row],[YouTube URL]],[3]Youtube___Daily_Videos!$C:$C,0),1),"-")</f>
        <v>-</v>
      </c>
      <c r="F76" t="s">
        <v>4620</v>
      </c>
      <c r="G76">
        <v>13</v>
      </c>
      <c r="H7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6"/>
    </row>
    <row r="77" spans="1:9" x14ac:dyDescent="0.25">
      <c r="A77">
        <v>76</v>
      </c>
      <c r="B77" t="s">
        <v>4906</v>
      </c>
      <c r="C77" t="s">
        <v>4907</v>
      </c>
      <c r="D77" t="s">
        <v>4908</v>
      </c>
      <c r="E77" t="str">
        <f>IFERROR(INDEX([3]Youtube___Daily_Videos!$F:$F,MATCH(Youtube___Daily_Videos[[#This Row],[YouTube URL]],[3]Youtube___Daily_Videos!$C:$C,0),1),"-")</f>
        <v>-</v>
      </c>
      <c r="F77" t="s">
        <v>4222</v>
      </c>
      <c r="G77">
        <v>13</v>
      </c>
      <c r="H7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7"/>
    </row>
    <row r="78" spans="1:9" x14ac:dyDescent="0.25">
      <c r="A78">
        <v>77</v>
      </c>
      <c r="B78" t="s">
        <v>5054</v>
      </c>
      <c r="C78" t="s">
        <v>5055</v>
      </c>
      <c r="D78" t="s">
        <v>5056</v>
      </c>
      <c r="E78" t="str">
        <f>IFERROR(INDEX([3]Youtube___Daily_Videos!$F:$F,MATCH(Youtube___Daily_Videos[[#This Row],[YouTube URL]],[3]Youtube___Daily_Videos!$C:$C,0),1),"-")</f>
        <v>-</v>
      </c>
      <c r="F78" t="s">
        <v>4223</v>
      </c>
      <c r="G78">
        <v>81</v>
      </c>
      <c r="H7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8"/>
    </row>
    <row r="79" spans="1:9" x14ac:dyDescent="0.25">
      <c r="A79">
        <v>78</v>
      </c>
      <c r="B79" t="s">
        <v>4546</v>
      </c>
      <c r="C79" t="s">
        <v>3702</v>
      </c>
      <c r="D79" t="s">
        <v>4547</v>
      </c>
      <c r="E79" t="str">
        <f>IFERROR(INDEX([3]Youtube___Daily_Videos!$F:$F,MATCH(Youtube___Daily_Videos[[#This Row],[YouTube URL]],[3]Youtube___Daily_Videos!$C:$C,0),1),"-")</f>
        <v>-</v>
      </c>
      <c r="F79" t="s">
        <v>4618</v>
      </c>
      <c r="G79">
        <v>7</v>
      </c>
      <c r="H7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9"/>
    </row>
    <row r="80" spans="1:9" x14ac:dyDescent="0.25">
      <c r="A80">
        <v>79</v>
      </c>
      <c r="B80" t="s">
        <v>5126</v>
      </c>
      <c r="C80" t="s">
        <v>5127</v>
      </c>
      <c r="D80" t="s">
        <v>5128</v>
      </c>
      <c r="E80" t="str">
        <f>IFERROR(INDEX([3]Youtube___Daily_Videos!$F:$F,MATCH(Youtube___Daily_Videos[[#This Row],[YouTube URL]],[3]Youtube___Daily_Videos!$C:$C,0),1),"-")</f>
        <v>-</v>
      </c>
      <c r="F80" t="s">
        <v>2780</v>
      </c>
      <c r="G80">
        <v>10</v>
      </c>
      <c r="H8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0"/>
    </row>
    <row r="81" spans="1:9" x14ac:dyDescent="0.25">
      <c r="A81">
        <v>80</v>
      </c>
      <c r="B81" t="s">
        <v>4887</v>
      </c>
      <c r="C81" t="s">
        <v>584</v>
      </c>
      <c r="D81" t="s">
        <v>4888</v>
      </c>
      <c r="E81" t="str">
        <f>IFERROR(INDEX([3]Youtube___Daily_Videos!$F:$F,MATCH(Youtube___Daily_Videos[[#This Row],[YouTube URL]],[3]Youtube___Daily_Videos!$C:$C,0),1),"-")</f>
        <v>-</v>
      </c>
      <c r="F81" t="s">
        <v>4623</v>
      </c>
      <c r="G81">
        <v>20</v>
      </c>
      <c r="H8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1"/>
    </row>
    <row r="82" spans="1:9" x14ac:dyDescent="0.25">
      <c r="A82">
        <v>81</v>
      </c>
      <c r="B82" t="s">
        <v>4892</v>
      </c>
      <c r="C82" t="s">
        <v>4893</v>
      </c>
      <c r="D82" t="s">
        <v>4894</v>
      </c>
      <c r="E82" t="str">
        <f>IFERROR(INDEX([3]Youtube___Daily_Videos!$F:$F,MATCH(Youtube___Daily_Videos[[#This Row],[YouTube URL]],[3]Youtube___Daily_Videos!$C:$C,0),1),"-")</f>
        <v>-</v>
      </c>
      <c r="F82" t="s">
        <v>5129</v>
      </c>
      <c r="G82">
        <v>15</v>
      </c>
      <c r="H8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2"/>
    </row>
    <row r="83" spans="1:9" x14ac:dyDescent="0.25">
      <c r="A83">
        <v>82</v>
      </c>
      <c r="B83" t="s">
        <v>2852</v>
      </c>
      <c r="C83" t="s">
        <v>4350</v>
      </c>
      <c r="D83" t="s">
        <v>2853</v>
      </c>
      <c r="E83" t="str">
        <f>IFERROR(INDEX([3]Youtube___Daily_Videos!$F:$F,MATCH(Youtube___Daily_Videos[[#This Row],[YouTube URL]],[3]Youtube___Daily_Videos!$C:$C,0),1),"-")</f>
        <v>-</v>
      </c>
      <c r="F83" t="s">
        <v>5130</v>
      </c>
      <c r="G83">
        <v>123</v>
      </c>
      <c r="H8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3"/>
    </row>
    <row r="84" spans="1:9" x14ac:dyDescent="0.25">
      <c r="A84">
        <v>83</v>
      </c>
      <c r="B84" t="s">
        <v>5067</v>
      </c>
      <c r="C84" t="s">
        <v>5068</v>
      </c>
      <c r="D84" t="s">
        <v>5069</v>
      </c>
      <c r="E84" t="str">
        <f>IFERROR(INDEX([3]Youtube___Daily_Videos!$F:$F,MATCH(Youtube___Daily_Videos[[#This Row],[YouTube URL]],[3]Youtube___Daily_Videos!$C:$C,0),1),"-")</f>
        <v>-</v>
      </c>
      <c r="F84" t="s">
        <v>5131</v>
      </c>
      <c r="G84">
        <v>79</v>
      </c>
      <c r="H8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4"/>
    </row>
    <row r="85" spans="1:9" x14ac:dyDescent="0.25">
      <c r="A85">
        <v>84</v>
      </c>
      <c r="B85" t="s">
        <v>5132</v>
      </c>
      <c r="C85" t="s">
        <v>3911</v>
      </c>
      <c r="D85" t="s">
        <v>5133</v>
      </c>
      <c r="E85" t="str">
        <f>IFERROR(INDEX([3]Youtube___Daily_Videos!$F:$F,MATCH(Youtube___Daily_Videos[[#This Row],[YouTube URL]],[3]Youtube___Daily_Videos!$C:$C,0),1),"-")</f>
        <v>-</v>
      </c>
      <c r="F85" t="s">
        <v>2780</v>
      </c>
      <c r="G85">
        <v>96</v>
      </c>
      <c r="H8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5"/>
    </row>
    <row r="86" spans="1:9" x14ac:dyDescent="0.25">
      <c r="A86">
        <v>85</v>
      </c>
      <c r="B86" t="s">
        <v>2874</v>
      </c>
      <c r="C86" t="s">
        <v>609</v>
      </c>
      <c r="D86" t="s">
        <v>2875</v>
      </c>
      <c r="E86" t="str">
        <f>IFERROR(INDEX([3]Youtube___Daily_Videos!$F:$F,MATCH(Youtube___Daily_Videos[[#This Row],[YouTube URL]],[3]Youtube___Daily_Videos!$C:$C,0),1),"-")</f>
        <v>-</v>
      </c>
      <c r="F86" t="s">
        <v>5050</v>
      </c>
      <c r="G86">
        <v>129</v>
      </c>
      <c r="H8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6"/>
    </row>
    <row r="87" spans="1:9" x14ac:dyDescent="0.25">
      <c r="A87">
        <v>86</v>
      </c>
      <c r="B87" t="s">
        <v>5064</v>
      </c>
      <c r="C87" t="s">
        <v>5065</v>
      </c>
      <c r="D87" t="s">
        <v>5066</v>
      </c>
      <c r="E87" t="str">
        <f>IFERROR(INDEX([3]Youtube___Daily_Videos!$F:$F,MATCH(Youtube___Daily_Videos[[#This Row],[YouTube URL]],[3]Youtube___Daily_Videos!$C:$C,0),1),"-")</f>
        <v>-</v>
      </c>
      <c r="F87" t="s">
        <v>5134</v>
      </c>
      <c r="G87">
        <v>13</v>
      </c>
      <c r="H8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7"/>
    </row>
    <row r="88" spans="1:9" x14ac:dyDescent="0.25">
      <c r="A88">
        <v>87</v>
      </c>
      <c r="B88" t="s">
        <v>5135</v>
      </c>
      <c r="C88" t="s">
        <v>743</v>
      </c>
      <c r="D88" t="s">
        <v>5136</v>
      </c>
      <c r="E88" t="str">
        <f>IFERROR(INDEX([3]Youtube___Daily_Videos!$F:$F,MATCH(Youtube___Daily_Videos[[#This Row],[YouTube URL]],[3]Youtube___Daily_Videos!$C:$C,0),1),"-")</f>
        <v>-</v>
      </c>
      <c r="F88" t="s">
        <v>2780</v>
      </c>
      <c r="G88">
        <v>135</v>
      </c>
      <c r="H8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8"/>
    </row>
    <row r="89" spans="1:9" x14ac:dyDescent="0.25">
      <c r="A89">
        <v>88</v>
      </c>
      <c r="B89" t="s">
        <v>2870</v>
      </c>
      <c r="C89" t="s">
        <v>4369</v>
      </c>
      <c r="D89" t="s">
        <v>2871</v>
      </c>
      <c r="E89" t="str">
        <f>IFERROR(INDEX([3]Youtube___Daily_Videos!$F:$F,MATCH(Youtube___Daily_Videos[[#This Row],[YouTube URL]],[3]Youtube___Daily_Videos!$C:$C,0),1),"-")</f>
        <v>-</v>
      </c>
      <c r="F89" t="s">
        <v>5137</v>
      </c>
      <c r="G89">
        <v>51</v>
      </c>
      <c r="H8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9"/>
    </row>
    <row r="90" spans="1:9" x14ac:dyDescent="0.25">
      <c r="A90">
        <v>89</v>
      </c>
      <c r="B90" t="s">
        <v>5138</v>
      </c>
      <c r="C90" t="s">
        <v>561</v>
      </c>
      <c r="D90" t="s">
        <v>5139</v>
      </c>
      <c r="E90" t="str">
        <f>IFERROR(INDEX([3]Youtube___Daily_Videos!$F:$F,MATCH(Youtube___Daily_Videos[[#This Row],[YouTube URL]],[3]Youtube___Daily_Videos!$C:$C,0),1),"-")</f>
        <v>-</v>
      </c>
      <c r="F90" t="s">
        <v>2780</v>
      </c>
      <c r="G90">
        <v>9</v>
      </c>
      <c r="H9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0"/>
    </row>
    <row r="91" spans="1:9" x14ac:dyDescent="0.25">
      <c r="A91">
        <v>90</v>
      </c>
      <c r="B91" t="s">
        <v>5140</v>
      </c>
      <c r="C91" t="s">
        <v>5141</v>
      </c>
      <c r="D91" t="s">
        <v>5142</v>
      </c>
      <c r="E91" t="str">
        <f>IFERROR(INDEX([3]Youtube___Daily_Videos!$F:$F,MATCH(Youtube___Daily_Videos[[#This Row],[YouTube URL]],[3]Youtube___Daily_Videos!$C:$C,0),1),"-")</f>
        <v>-</v>
      </c>
      <c r="F91" t="s">
        <v>2780</v>
      </c>
      <c r="G91">
        <v>26</v>
      </c>
      <c r="H9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1"/>
    </row>
    <row r="92" spans="1:9" x14ac:dyDescent="0.25">
      <c r="A92">
        <v>91</v>
      </c>
      <c r="B92" t="s">
        <v>5143</v>
      </c>
      <c r="C92" t="s">
        <v>5144</v>
      </c>
      <c r="D92" t="s">
        <v>5145</v>
      </c>
      <c r="E92" t="str">
        <f>IFERROR(INDEX([3]Youtube___Daily_Videos!$F:$F,MATCH(Youtube___Daily_Videos[[#This Row],[YouTube URL]],[3]Youtube___Daily_Videos!$C:$C,0),1),"-")</f>
        <v>-</v>
      </c>
      <c r="F92" t="s">
        <v>2780</v>
      </c>
      <c r="G92">
        <v>42</v>
      </c>
      <c r="H9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2"/>
    </row>
    <row r="93" spans="1:9" x14ac:dyDescent="0.25">
      <c r="A93">
        <v>92</v>
      </c>
      <c r="B93" t="s">
        <v>5146</v>
      </c>
      <c r="C93" t="s">
        <v>5147</v>
      </c>
      <c r="D93" t="s">
        <v>5148</v>
      </c>
      <c r="E93" t="str">
        <f>IFERROR(INDEX([3]Youtube___Daily_Videos!$F:$F,MATCH(Youtube___Daily_Videos[[#This Row],[YouTube URL]],[3]Youtube___Daily_Videos!$C:$C,0),1),"-")</f>
        <v>-</v>
      </c>
      <c r="F93" t="s">
        <v>2780</v>
      </c>
      <c r="G93">
        <v>2</v>
      </c>
      <c r="H9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3"/>
    </row>
    <row r="94" spans="1:9" x14ac:dyDescent="0.25">
      <c r="A94">
        <v>93</v>
      </c>
      <c r="B94" t="s">
        <v>4666</v>
      </c>
      <c r="C94" t="s">
        <v>4667</v>
      </c>
      <c r="D94" t="s">
        <v>4668</v>
      </c>
      <c r="E94" t="str">
        <f>IFERROR(INDEX([3]Youtube___Daily_Videos!$F:$F,MATCH(Youtube___Daily_Videos[[#This Row],[YouTube URL]],[3]Youtube___Daily_Videos!$C:$C,0),1),"-")</f>
        <v>-</v>
      </c>
      <c r="F94" t="s">
        <v>3935</v>
      </c>
      <c r="G94">
        <v>6</v>
      </c>
      <c r="H9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4"/>
    </row>
    <row r="95" spans="1:9" x14ac:dyDescent="0.25">
      <c r="A95">
        <v>94</v>
      </c>
      <c r="B95" t="s">
        <v>5070</v>
      </c>
      <c r="C95" t="s">
        <v>5071</v>
      </c>
      <c r="D95" t="s">
        <v>5072</v>
      </c>
      <c r="E95" t="str">
        <f>IFERROR(INDEX([3]Youtube___Daily_Videos!$F:$F,MATCH(Youtube___Daily_Videos[[#This Row],[YouTube URL]],[3]Youtube___Daily_Videos!$C:$C,0),1),"-")</f>
        <v>-</v>
      </c>
      <c r="F95" t="s">
        <v>5063</v>
      </c>
      <c r="G95">
        <v>102</v>
      </c>
      <c r="H9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5"/>
    </row>
    <row r="96" spans="1:9" x14ac:dyDescent="0.25">
      <c r="A96">
        <v>95</v>
      </c>
      <c r="B96" t="s">
        <v>4548</v>
      </c>
      <c r="C96" t="s">
        <v>4549</v>
      </c>
      <c r="D96" t="s">
        <v>4550</v>
      </c>
      <c r="E96" t="str">
        <f>IFERROR(INDEX([3]Youtube___Daily_Videos!$F:$F,MATCH(Youtube___Daily_Videos[[#This Row],[YouTube URL]],[3]Youtube___Daily_Videos!$C:$C,0),1),"-")</f>
        <v>-</v>
      </c>
      <c r="F96" t="s">
        <v>4624</v>
      </c>
      <c r="G96">
        <v>18</v>
      </c>
      <c r="H9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6"/>
    </row>
    <row r="97" spans="1:9" x14ac:dyDescent="0.25">
      <c r="A97">
        <v>96</v>
      </c>
      <c r="B97" t="s">
        <v>4897</v>
      </c>
      <c r="C97" t="s">
        <v>4898</v>
      </c>
      <c r="D97" t="s">
        <v>4899</v>
      </c>
      <c r="E97" t="str">
        <f>IFERROR(INDEX([3]Youtube___Daily_Videos!$F:$F,MATCH(Youtube___Daily_Videos[[#This Row],[YouTube URL]],[3]Youtube___Daily_Videos!$C:$C,0),1),"-")</f>
        <v>-</v>
      </c>
      <c r="F97" t="s">
        <v>4664</v>
      </c>
      <c r="G97">
        <v>40</v>
      </c>
      <c r="H9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7"/>
    </row>
    <row r="98" spans="1:9" x14ac:dyDescent="0.25">
      <c r="A98">
        <v>97</v>
      </c>
      <c r="B98" t="s">
        <v>5149</v>
      </c>
      <c r="C98" t="s">
        <v>5150</v>
      </c>
      <c r="D98" t="s">
        <v>5151</v>
      </c>
      <c r="E98" t="str">
        <f>IFERROR(INDEX([3]Youtube___Daily_Videos!$F:$F,MATCH(Youtube___Daily_Videos[[#This Row],[YouTube URL]],[3]Youtube___Daily_Videos!$C:$C,0),1),"-")</f>
        <v>-</v>
      </c>
      <c r="F98" t="s">
        <v>2780</v>
      </c>
      <c r="G98">
        <v>129</v>
      </c>
      <c r="H9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8"/>
    </row>
    <row r="99" spans="1:9" x14ac:dyDescent="0.25">
      <c r="A99">
        <v>98</v>
      </c>
      <c r="B99" t="s">
        <v>5057</v>
      </c>
      <c r="C99" t="s">
        <v>5058</v>
      </c>
      <c r="D99" t="s">
        <v>5059</v>
      </c>
      <c r="E99" t="str">
        <f>IFERROR(INDEX([3]Youtube___Daily_Videos!$F:$F,MATCH(Youtube___Daily_Videos[[#This Row],[YouTube URL]],[3]Youtube___Daily_Videos!$C:$C,0),1),"-")</f>
        <v>-</v>
      </c>
      <c r="F99" t="s">
        <v>3912</v>
      </c>
      <c r="G99">
        <v>5</v>
      </c>
      <c r="H9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9"/>
    </row>
    <row r="100" spans="1:9" x14ac:dyDescent="0.25">
      <c r="A100">
        <v>99</v>
      </c>
      <c r="B100" t="s">
        <v>5152</v>
      </c>
      <c r="C100" t="s">
        <v>5153</v>
      </c>
      <c r="D100" t="s">
        <v>4665</v>
      </c>
      <c r="E100" t="str">
        <f>IFERROR(INDEX([3]Youtube___Daily_Videos!$F:$F,MATCH(Youtube___Daily_Videos[[#This Row],[YouTube URL]],[3]Youtube___Daily_Videos!$C:$C,0),1),"-")</f>
        <v>-</v>
      </c>
      <c r="F100" t="s">
        <v>2780</v>
      </c>
      <c r="G100">
        <v>14</v>
      </c>
      <c r="H10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00"/>
    </row>
    <row r="101" spans="1:9" x14ac:dyDescent="0.25">
      <c r="A101">
        <v>100</v>
      </c>
      <c r="B101" t="s">
        <v>5154</v>
      </c>
      <c r="C101" t="s">
        <v>561</v>
      </c>
      <c r="D101" t="s">
        <v>4042</v>
      </c>
      <c r="E101" t="str">
        <f>IFERROR(INDEX([3]Youtube___Daily_Videos!$F:$F,MATCH(Youtube___Daily_Videos[[#This Row],[YouTube URL]],[3]Youtube___Daily_Videos!$C:$C,0),1),"-")</f>
        <v>-</v>
      </c>
      <c r="F101" t="s">
        <v>2780</v>
      </c>
      <c r="G101">
        <v>2</v>
      </c>
      <c r="H10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0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D0CD0-D07E-4DDE-9CBE-925E6662A925}">
  <sheetPr codeName="Planilha22"/>
  <dimension ref="A1:H51"/>
  <sheetViews>
    <sheetView showGridLines="0" topLeftCell="B1" zoomScale="90" zoomScaleNormal="90" workbookViewId="0">
      <selection activeCell="C2" sqref="C2"/>
    </sheetView>
  </sheetViews>
  <sheetFormatPr defaultRowHeight="15" x14ac:dyDescent="0.25"/>
  <cols>
    <col min="1" max="1" width="7.7109375" bestFit="1" customWidth="1"/>
    <col min="2" max="2" width="49" bestFit="1" customWidth="1"/>
    <col min="3" max="3" width="81.140625" bestFit="1" customWidth="1"/>
    <col min="4" max="4" width="47.28515625" bestFit="1" customWidth="1"/>
    <col min="5" max="5" width="12.42578125" bestFit="1" customWidth="1"/>
    <col min="6" max="6" width="15.85546875" bestFit="1" customWidth="1"/>
    <col min="7" max="7" width="18.28515625" bestFit="1" customWidth="1"/>
    <col min="8" max="8" width="11.5703125" style="3" bestFit="1" customWidth="1"/>
  </cols>
  <sheetData>
    <row r="1" spans="1:8" x14ac:dyDescent="0.25">
      <c r="A1" t="s">
        <v>2734</v>
      </c>
      <c r="B1" t="s">
        <v>2735</v>
      </c>
      <c r="C1" t="s">
        <v>2987</v>
      </c>
      <c r="D1" t="s">
        <v>4420</v>
      </c>
      <c r="E1" t="s">
        <v>4557</v>
      </c>
      <c r="F1" t="s">
        <v>2737</v>
      </c>
      <c r="G1" t="s">
        <v>2738</v>
      </c>
      <c r="H1" s="3" t="s">
        <v>1108</v>
      </c>
    </row>
    <row r="2" spans="1:8" x14ac:dyDescent="0.25">
      <c r="A2" t="s">
        <v>2741</v>
      </c>
      <c r="B2" t="s">
        <v>4444</v>
      </c>
      <c r="C2" t="s">
        <v>140</v>
      </c>
      <c r="D2" t="s">
        <v>141</v>
      </c>
      <c r="E2" t="str">
        <f>IFERROR(INDEX([3]Youtube___Daily_Shorts!$F:$F,MATCH(youtube_shorts[[#This Row],[YouTube URL]],[3]Youtube___Daily_Shorts!$C:$C,0),1),"_")</f>
        <v>_</v>
      </c>
      <c r="F2" t="s">
        <v>2741</v>
      </c>
      <c r="G2" t="s">
        <v>2790</v>
      </c>
      <c r="H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" spans="1:8" x14ac:dyDescent="0.25">
      <c r="A3" t="s">
        <v>2744</v>
      </c>
      <c r="B3" t="s">
        <v>4467</v>
      </c>
      <c r="C3" t="s">
        <v>4485</v>
      </c>
      <c r="D3" t="s">
        <v>3715</v>
      </c>
      <c r="E3" t="str">
        <f>IFERROR(INDEX([3]Youtube___Daily_Shorts!$F:$F,MATCH(youtube_shorts[[#This Row],[YouTube URL]],[3]Youtube___Daily_Shorts!$C:$C,0),1),"_")</f>
        <v>_</v>
      </c>
      <c r="F3" t="s">
        <v>2744</v>
      </c>
      <c r="G3" t="s">
        <v>2774</v>
      </c>
      <c r="H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" spans="1:8" x14ac:dyDescent="0.25">
      <c r="A4" t="s">
        <v>2747</v>
      </c>
      <c r="B4" t="s">
        <v>2784</v>
      </c>
      <c r="C4" t="s">
        <v>4329</v>
      </c>
      <c r="D4" t="s">
        <v>3984</v>
      </c>
      <c r="E4" t="str">
        <f>IFERROR(INDEX([3]Youtube___Daily_Shorts!$F:$F,MATCH(youtube_shorts[[#This Row],[YouTube URL]],[3]Youtube___Daily_Shorts!$C:$C,0),1),"_")</f>
        <v>_</v>
      </c>
      <c r="F4" t="s">
        <v>2747</v>
      </c>
      <c r="G4" t="s">
        <v>2798</v>
      </c>
      <c r="H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" spans="1:8" x14ac:dyDescent="0.25">
      <c r="A5" t="s">
        <v>2750</v>
      </c>
      <c r="B5" t="s">
        <v>4463</v>
      </c>
      <c r="C5" t="s">
        <v>4483</v>
      </c>
      <c r="D5" t="s">
        <v>4464</v>
      </c>
      <c r="E5" t="str">
        <f>IFERROR(INDEX([3]Youtube___Daily_Shorts!$F:$F,MATCH(youtube_shorts[[#This Row],[YouTube URL]],[3]Youtube___Daily_Shorts!$C:$C,0),1),"_")</f>
        <v>_</v>
      </c>
      <c r="F5" t="s">
        <v>2750</v>
      </c>
      <c r="G5" t="s">
        <v>3805</v>
      </c>
      <c r="H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6" spans="1:8" x14ac:dyDescent="0.25">
      <c r="A6" t="s">
        <v>2753</v>
      </c>
      <c r="B6" t="s">
        <v>4438</v>
      </c>
      <c r="C6" t="s">
        <v>4480</v>
      </c>
      <c r="D6" t="s">
        <v>4067</v>
      </c>
      <c r="E6" t="str">
        <f>IFERROR(INDEX([3]Youtube___Daily_Shorts!$F:$F,MATCH(youtube_shorts[[#This Row],[YouTube URL]],[3]Youtube___Daily_Shorts!$C:$C,0),1),"_")</f>
        <v>_</v>
      </c>
      <c r="F6" t="s">
        <v>2753</v>
      </c>
      <c r="G6" t="s">
        <v>2832</v>
      </c>
      <c r="H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7" spans="1:8" x14ac:dyDescent="0.25">
      <c r="A7" t="s">
        <v>2765</v>
      </c>
      <c r="B7" t="s">
        <v>4445</v>
      </c>
      <c r="C7" t="s">
        <v>1047</v>
      </c>
      <c r="D7" t="s">
        <v>4342</v>
      </c>
      <c r="E7" t="str">
        <f>IFERROR(INDEX([3]Youtube___Daily_Shorts!$F:$F,MATCH(youtube_shorts[[#This Row],[YouTube URL]],[3]Youtube___Daily_Shorts!$C:$C,0),1),"_")</f>
        <v>_</v>
      </c>
      <c r="F7" t="s">
        <v>2865</v>
      </c>
      <c r="G7" t="s">
        <v>2808</v>
      </c>
      <c r="H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8" spans="1:8" x14ac:dyDescent="0.25">
      <c r="A8" t="s">
        <v>2756</v>
      </c>
      <c r="B8" t="s">
        <v>4442</v>
      </c>
      <c r="C8" t="s">
        <v>1000</v>
      </c>
      <c r="D8" t="s">
        <v>1001</v>
      </c>
      <c r="E8" t="str">
        <f>IFERROR(INDEX([3]Youtube___Daily_Shorts!$F:$F,MATCH(youtube_shorts[[#This Row],[YouTube URL]],[3]Youtube___Daily_Shorts!$C:$C,0),1),"_")</f>
        <v>_</v>
      </c>
      <c r="F8" t="s">
        <v>2765</v>
      </c>
      <c r="G8" t="s">
        <v>2831</v>
      </c>
      <c r="H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9" spans="1:8" x14ac:dyDescent="0.25">
      <c r="A9" t="s">
        <v>2762</v>
      </c>
      <c r="B9" t="s">
        <v>4433</v>
      </c>
      <c r="C9" t="s">
        <v>273</v>
      </c>
      <c r="D9" t="s">
        <v>274</v>
      </c>
      <c r="E9" t="str">
        <f>IFERROR(INDEX([3]Youtube___Daily_Shorts!$F:$F,MATCH(youtube_shorts[[#This Row],[YouTube URL]],[3]Youtube___Daily_Shorts!$C:$C,0),1),"_")</f>
        <v>_</v>
      </c>
      <c r="F9" t="s">
        <v>2756</v>
      </c>
      <c r="G9" t="s">
        <v>4374</v>
      </c>
      <c r="H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0" spans="1:8" x14ac:dyDescent="0.25">
      <c r="A10" t="s">
        <v>2759</v>
      </c>
      <c r="B10" t="s">
        <v>4554</v>
      </c>
      <c r="C10" t="s">
        <v>4555</v>
      </c>
      <c r="D10" t="s">
        <v>4556</v>
      </c>
      <c r="E10" t="str">
        <f>IFERROR(INDEX([3]Youtube___Daily_Shorts!$F:$F,MATCH(youtube_shorts[[#This Row],[YouTube URL]],[3]Youtube___Daily_Shorts!$C:$C,0),1),"_")</f>
        <v>_</v>
      </c>
      <c r="F10" t="s">
        <v>2774</v>
      </c>
      <c r="G10" t="s">
        <v>2756</v>
      </c>
      <c r="H1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1" spans="1:8" x14ac:dyDescent="0.25">
      <c r="A11" t="s">
        <v>2838</v>
      </c>
      <c r="B11" t="s">
        <v>2781</v>
      </c>
      <c r="C11" t="s">
        <v>18</v>
      </c>
      <c r="D11" t="s">
        <v>19</v>
      </c>
      <c r="E11">
        <f>IFERROR(INDEX([3]Youtube___Daily_Shorts!$F:$F,MATCH(youtube_shorts[[#This Row],[YouTube URL]],[3]Youtube___Daily_Shorts!$C:$C,0),1),"_")</f>
        <v>1</v>
      </c>
      <c r="F11" t="s">
        <v>2762</v>
      </c>
      <c r="G11" t="s">
        <v>2858</v>
      </c>
      <c r="H11" s="3">
        <f ca="1">IFERROR(IF(youtube_shorts[[#This Row],[Peak Rank]]&lt;=youtube_shorts[[#This Row],[Rank]],INDEX([3]Youtube___Daily_Shorts!$I:$I,MATCH(youtube_shorts[[#This Row],[YouTube URL]],[3]Youtube___Daily_Shorts!$C:$C,0),1),TODAY()-1),"-")</f>
        <v>45886</v>
      </c>
    </row>
    <row r="12" spans="1:8" x14ac:dyDescent="0.25">
      <c r="A12" t="s">
        <v>2771</v>
      </c>
      <c r="B12" t="s">
        <v>4425</v>
      </c>
      <c r="C12" t="s">
        <v>4088</v>
      </c>
      <c r="D12" t="s">
        <v>4087</v>
      </c>
      <c r="E12" t="str">
        <f>IFERROR(INDEX([3]Youtube___Daily_Shorts!$F:$F,MATCH(youtube_shorts[[#This Row],[YouTube URL]],[3]Youtube___Daily_Shorts!$C:$C,0),1),"_")</f>
        <v>_</v>
      </c>
      <c r="F12" t="s">
        <v>2838</v>
      </c>
      <c r="G12" t="s">
        <v>4613</v>
      </c>
      <c r="H1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3" spans="1:8" x14ac:dyDescent="0.25">
      <c r="A13" t="s">
        <v>2865</v>
      </c>
      <c r="B13" t="s">
        <v>4551</v>
      </c>
      <c r="C13" t="s">
        <v>4552</v>
      </c>
      <c r="D13" t="s">
        <v>4553</v>
      </c>
      <c r="E13" t="str">
        <f>IFERROR(INDEX([3]Youtube___Daily_Shorts!$F:$F,MATCH(youtube_shorts[[#This Row],[YouTube URL]],[3]Youtube___Daily_Shorts!$C:$C,0),1),"_")</f>
        <v>_</v>
      </c>
      <c r="F13" t="s">
        <v>3805</v>
      </c>
      <c r="G13" t="s">
        <v>2838</v>
      </c>
      <c r="H1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4" spans="1:8" x14ac:dyDescent="0.25">
      <c r="A14" t="s">
        <v>2768</v>
      </c>
      <c r="B14" t="s">
        <v>4460</v>
      </c>
      <c r="C14" t="s">
        <v>4461</v>
      </c>
      <c r="D14" t="s">
        <v>4462</v>
      </c>
      <c r="E14" t="str">
        <f>IFERROR(INDEX([3]Youtube___Daily_Shorts!$F:$F,MATCH(youtube_shorts[[#This Row],[YouTube URL]],[3]Youtube___Daily_Shorts!$C:$C,0),1),"_")</f>
        <v>_</v>
      </c>
      <c r="F14" t="s">
        <v>2759</v>
      </c>
      <c r="G14" t="s">
        <v>2783</v>
      </c>
      <c r="H1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5" spans="1:8" x14ac:dyDescent="0.25">
      <c r="A15" t="s">
        <v>2774</v>
      </c>
      <c r="B15" t="s">
        <v>4468</v>
      </c>
      <c r="C15" t="s">
        <v>4469</v>
      </c>
      <c r="D15" t="s">
        <v>4470</v>
      </c>
      <c r="E15" t="str">
        <f>IFERROR(INDEX([3]Youtube___Daily_Shorts!$F:$F,MATCH(youtube_shorts[[#This Row],[YouTube URL]],[3]Youtube___Daily_Shorts!$C:$C,0),1),"_")</f>
        <v>_</v>
      </c>
      <c r="F15" t="s">
        <v>2771</v>
      </c>
      <c r="G15" t="s">
        <v>2838</v>
      </c>
      <c r="H1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6" spans="1:8" x14ac:dyDescent="0.25">
      <c r="A16" t="s">
        <v>3805</v>
      </c>
      <c r="B16" t="s">
        <v>2856</v>
      </c>
      <c r="C16" t="s">
        <v>237</v>
      </c>
      <c r="D16" t="s">
        <v>2857</v>
      </c>
      <c r="E16" t="str">
        <f>IFERROR(INDEX([3]Youtube___Daily_Shorts!$F:$F,MATCH(youtube_shorts[[#This Row],[YouTube URL]],[3]Youtube___Daily_Shorts!$C:$C,0),1),"_")</f>
        <v>_</v>
      </c>
      <c r="F16" t="s">
        <v>2768</v>
      </c>
      <c r="G16" t="s">
        <v>2759</v>
      </c>
      <c r="H1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7" spans="1:8" x14ac:dyDescent="0.25">
      <c r="A17" t="s">
        <v>2779</v>
      </c>
      <c r="B17" t="s">
        <v>4909</v>
      </c>
      <c r="C17" t="s">
        <v>1855</v>
      </c>
      <c r="D17" t="s">
        <v>4910</v>
      </c>
      <c r="E17" t="str">
        <f>IFERROR(INDEX([3]Youtube___Daily_Shorts!$F:$F,MATCH(youtube_shorts[[#This Row],[YouTube URL]],[3]Youtube___Daily_Shorts!$C:$C,0),1),"_")</f>
        <v>_</v>
      </c>
      <c r="F17" t="s">
        <v>2779</v>
      </c>
      <c r="G17" t="s">
        <v>2762</v>
      </c>
      <c r="H1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8" spans="1:8" x14ac:dyDescent="0.25">
      <c r="A18" t="s">
        <v>2826</v>
      </c>
      <c r="B18" t="s">
        <v>4426</v>
      </c>
      <c r="C18" t="s">
        <v>4474</v>
      </c>
      <c r="D18" t="s">
        <v>4427</v>
      </c>
      <c r="E18" t="str">
        <f>IFERROR(INDEX([3]Youtube___Daily_Shorts!$F:$F,MATCH(youtube_shorts[[#This Row],[YouTube URL]],[3]Youtube___Daily_Shorts!$C:$C,0),1),"_")</f>
        <v>_</v>
      </c>
      <c r="F18" t="s">
        <v>2826</v>
      </c>
      <c r="G18" t="s">
        <v>2843</v>
      </c>
      <c r="H1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9" spans="1:8" x14ac:dyDescent="0.25">
      <c r="A19" t="s">
        <v>2783</v>
      </c>
      <c r="B19" t="s">
        <v>4431</v>
      </c>
      <c r="C19" t="s">
        <v>1034</v>
      </c>
      <c r="D19" t="s">
        <v>1110</v>
      </c>
      <c r="E19" t="str">
        <f>IFERROR(INDEX([3]Youtube___Daily_Shorts!$F:$F,MATCH(youtube_shorts[[#This Row],[YouTube URL]],[3]Youtube___Daily_Shorts!$C:$C,0),1),"_")</f>
        <v>_</v>
      </c>
      <c r="F19" t="s">
        <v>2783</v>
      </c>
      <c r="G19" t="s">
        <v>4374</v>
      </c>
      <c r="H1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0" spans="1:8" x14ac:dyDescent="0.25">
      <c r="A20" t="s">
        <v>2776</v>
      </c>
      <c r="B20" t="s">
        <v>5155</v>
      </c>
      <c r="C20" t="s">
        <v>4911</v>
      </c>
      <c r="D20" t="s">
        <v>4912</v>
      </c>
      <c r="E20" t="str">
        <f>IFERROR(INDEX([3]Youtube___Daily_Shorts!$F:$F,MATCH(youtube_shorts[[#This Row],[YouTube URL]],[3]Youtube___Daily_Shorts!$C:$C,0),1),"_")</f>
        <v>_</v>
      </c>
      <c r="F20" t="s">
        <v>2796</v>
      </c>
      <c r="G20" t="s">
        <v>2747</v>
      </c>
      <c r="H2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1" spans="1:8" x14ac:dyDescent="0.25">
      <c r="A21" t="s">
        <v>2794</v>
      </c>
      <c r="B21" t="s">
        <v>4435</v>
      </c>
      <c r="C21" t="s">
        <v>4436</v>
      </c>
      <c r="D21" t="s">
        <v>4437</v>
      </c>
      <c r="E21" t="str">
        <f>IFERROR(INDEX([3]Youtube___Daily_Shorts!$F:$F,MATCH(youtube_shorts[[#This Row],[YouTube URL]],[3]Youtube___Daily_Shorts!$C:$C,0),1),"_")</f>
        <v>_</v>
      </c>
      <c r="F21" t="s">
        <v>2776</v>
      </c>
      <c r="G21" t="s">
        <v>2828</v>
      </c>
      <c r="H2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2" spans="1:8" x14ac:dyDescent="0.25">
      <c r="A22" t="s">
        <v>3806</v>
      </c>
      <c r="B22" t="s">
        <v>4428</v>
      </c>
      <c r="C22" t="s">
        <v>4475</v>
      </c>
      <c r="D22" t="s">
        <v>4055</v>
      </c>
      <c r="E22" t="str">
        <f>IFERROR(INDEX([3]Youtube___Daily_Shorts!$F:$F,MATCH(youtube_shorts[[#This Row],[YouTube URL]],[3]Youtube___Daily_Shorts!$C:$C,0),1),"_")</f>
        <v>_</v>
      </c>
      <c r="F22" t="s">
        <v>3806</v>
      </c>
      <c r="G22" t="s">
        <v>3931</v>
      </c>
      <c r="H2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3" spans="1:8" x14ac:dyDescent="0.25">
      <c r="A23" t="s">
        <v>2787</v>
      </c>
      <c r="B23" t="s">
        <v>4441</v>
      </c>
      <c r="C23" t="s">
        <v>1950</v>
      </c>
      <c r="D23" t="s">
        <v>1951</v>
      </c>
      <c r="E23" t="str">
        <f>IFERROR(INDEX([3]Youtube___Daily_Shorts!$F:$F,MATCH(youtube_shorts[[#This Row],[YouTube URL]],[3]Youtube___Daily_Shorts!$C:$C,0),1),"_")</f>
        <v>_</v>
      </c>
      <c r="F23" t="s">
        <v>2811</v>
      </c>
      <c r="G23" t="s">
        <v>2818</v>
      </c>
      <c r="H2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4" spans="1:8" x14ac:dyDescent="0.25">
      <c r="A24" t="s">
        <v>2796</v>
      </c>
      <c r="B24" t="s">
        <v>4443</v>
      </c>
      <c r="C24" t="s">
        <v>527</v>
      </c>
      <c r="D24" t="s">
        <v>4000</v>
      </c>
      <c r="E24">
        <f>IFERROR(INDEX([3]Youtube___Daily_Shorts!$F:$F,MATCH(youtube_shorts[[#This Row],[YouTube URL]],[3]Youtube___Daily_Shorts!$C:$C,0),1),"_")</f>
        <v>1</v>
      </c>
      <c r="F24" t="s">
        <v>2808</v>
      </c>
      <c r="G24" t="s">
        <v>2800</v>
      </c>
      <c r="H24" s="3">
        <f ca="1">IFERROR(IF(youtube_shorts[[#This Row],[Peak Rank]]&lt;=youtube_shorts[[#This Row],[Rank]],INDEX([3]Youtube___Daily_Shorts!$I:$I,MATCH(youtube_shorts[[#This Row],[YouTube URL]],[3]Youtube___Daily_Shorts!$C:$C,0),1),TODAY()-1),"-")</f>
        <v>45884</v>
      </c>
    </row>
    <row r="25" spans="1:8" x14ac:dyDescent="0.25">
      <c r="A25" t="s">
        <v>2811</v>
      </c>
      <c r="B25" t="s">
        <v>4471</v>
      </c>
      <c r="C25" t="s">
        <v>4486</v>
      </c>
      <c r="D25" t="s">
        <v>4472</v>
      </c>
      <c r="E25" t="str">
        <f>IFERROR(INDEX([3]Youtube___Daily_Shorts!$F:$F,MATCH(youtube_shorts[[#This Row],[YouTube URL]],[3]Youtube___Daily_Shorts!$C:$C,0),1),"_")</f>
        <v>_</v>
      </c>
      <c r="F25" t="s">
        <v>2800</v>
      </c>
      <c r="G25" t="s">
        <v>2759</v>
      </c>
      <c r="H2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6" spans="1:8" x14ac:dyDescent="0.25">
      <c r="A26" t="s">
        <v>2824</v>
      </c>
      <c r="B26" t="s">
        <v>4423</v>
      </c>
      <c r="C26" t="s">
        <v>1309</v>
      </c>
      <c r="D26" t="s">
        <v>1310</v>
      </c>
      <c r="E26" t="str">
        <f>IFERROR(INDEX([3]Youtube___Daily_Shorts!$F:$F,MATCH(youtube_shorts[[#This Row],[YouTube URL]],[3]Youtube___Daily_Shorts!$C:$C,0),1),"_")</f>
        <v>_</v>
      </c>
      <c r="F26" t="s">
        <v>2824</v>
      </c>
      <c r="G26" t="s">
        <v>5156</v>
      </c>
      <c r="H2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7" spans="1:8" x14ac:dyDescent="0.25">
      <c r="A27" t="s">
        <v>2808</v>
      </c>
      <c r="B27" t="s">
        <v>4449</v>
      </c>
      <c r="C27" t="s">
        <v>4450</v>
      </c>
      <c r="D27" t="s">
        <v>4451</v>
      </c>
      <c r="E27" t="str">
        <f>IFERROR(INDEX([3]Youtube___Daily_Shorts!$F:$F,MATCH(youtube_shorts[[#This Row],[YouTube URL]],[3]Youtube___Daily_Shorts!$C:$C,0),1),"_")</f>
        <v>_</v>
      </c>
      <c r="F27" t="s">
        <v>2787</v>
      </c>
      <c r="G27" t="s">
        <v>2787</v>
      </c>
      <c r="H2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8" spans="1:8" x14ac:dyDescent="0.25">
      <c r="A28" t="s">
        <v>2798</v>
      </c>
      <c r="B28" t="s">
        <v>4452</v>
      </c>
      <c r="C28" t="s">
        <v>4453</v>
      </c>
      <c r="D28" t="s">
        <v>4454</v>
      </c>
      <c r="E28" t="str">
        <f>IFERROR(INDEX([3]Youtube___Daily_Shorts!$F:$F,MATCH(youtube_shorts[[#This Row],[YouTube URL]],[3]Youtube___Daily_Shorts!$C:$C,0),1),"_")</f>
        <v>_</v>
      </c>
      <c r="F28" t="s">
        <v>2794</v>
      </c>
      <c r="G28" t="s">
        <v>2794</v>
      </c>
      <c r="H2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9" spans="1:8" x14ac:dyDescent="0.25">
      <c r="A29" t="s">
        <v>2790</v>
      </c>
      <c r="B29" t="s">
        <v>4432</v>
      </c>
      <c r="C29" t="s">
        <v>4478</v>
      </c>
      <c r="D29" t="s">
        <v>116</v>
      </c>
      <c r="E29" t="str">
        <f>IFERROR(INDEX([3]Youtube___Daily_Shorts!$F:$F,MATCH(youtube_shorts[[#This Row],[YouTube URL]],[3]Youtube___Daily_Shorts!$C:$C,0),1),"_")</f>
        <v>_</v>
      </c>
      <c r="F29" t="s">
        <v>2798</v>
      </c>
      <c r="G29" t="s">
        <v>5123</v>
      </c>
      <c r="H2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0" spans="1:8" x14ac:dyDescent="0.25">
      <c r="A30" t="s">
        <v>2800</v>
      </c>
      <c r="B30" t="s">
        <v>4889</v>
      </c>
      <c r="C30" t="s">
        <v>4890</v>
      </c>
      <c r="D30" t="s">
        <v>3711</v>
      </c>
      <c r="E30" t="str">
        <f>IFERROR(INDEX([3]Youtube___Daily_Shorts!$F:$F,MATCH(youtube_shorts[[#This Row],[YouTube URL]],[3]Youtube___Daily_Shorts!$C:$C,0),1),"_")</f>
        <v>_</v>
      </c>
      <c r="F30" t="s">
        <v>2790</v>
      </c>
      <c r="G30" t="s">
        <v>2774</v>
      </c>
      <c r="H3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1" spans="1:8" x14ac:dyDescent="0.25">
      <c r="A31" t="s">
        <v>2831</v>
      </c>
      <c r="B31" t="s">
        <v>4434</v>
      </c>
      <c r="C31" t="s">
        <v>4479</v>
      </c>
      <c r="D31" t="s">
        <v>15</v>
      </c>
      <c r="E31" t="str">
        <f>IFERROR(INDEX([3]Youtube___Daily_Shorts!$F:$F,MATCH(youtube_shorts[[#This Row],[YouTube URL]],[3]Youtube___Daily_Shorts!$C:$C,0),1),"_")</f>
        <v>_</v>
      </c>
      <c r="F31" t="s">
        <v>2818</v>
      </c>
      <c r="G31" t="s">
        <v>5122</v>
      </c>
      <c r="H3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2" spans="1:8" x14ac:dyDescent="0.25">
      <c r="A32" t="s">
        <v>2821</v>
      </c>
      <c r="B32" t="s">
        <v>5157</v>
      </c>
      <c r="C32" t="s">
        <v>637</v>
      </c>
      <c r="D32" t="s">
        <v>5158</v>
      </c>
      <c r="E32" t="str">
        <f>IFERROR(INDEX([3]Youtube___Daily_Shorts!$F:$F,MATCH(youtube_shorts[[#This Row],[YouTube URL]],[3]Youtube___Daily_Shorts!$C:$C,0),1),"_")</f>
        <v>_</v>
      </c>
      <c r="F32" t="s">
        <v>2780</v>
      </c>
      <c r="G32" t="s">
        <v>2750</v>
      </c>
      <c r="H3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3" spans="1:8" x14ac:dyDescent="0.25">
      <c r="A33" t="s">
        <v>2818</v>
      </c>
      <c r="B33" t="s">
        <v>4421</v>
      </c>
      <c r="C33" t="s">
        <v>4473</v>
      </c>
      <c r="D33" t="s">
        <v>4422</v>
      </c>
      <c r="E33" t="str">
        <f>IFERROR(INDEX([3]Youtube___Daily_Shorts!$F:$F,MATCH(youtube_shorts[[#This Row],[YouTube URL]],[3]Youtube___Daily_Shorts!$C:$C,0),1),"_")</f>
        <v>_</v>
      </c>
      <c r="F33" t="s">
        <v>3900</v>
      </c>
      <c r="G33" t="s">
        <v>4615</v>
      </c>
      <c r="H3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4" spans="1:8" x14ac:dyDescent="0.25">
      <c r="A34" t="s">
        <v>3900</v>
      </c>
      <c r="B34" t="s">
        <v>5159</v>
      </c>
      <c r="C34" t="s">
        <v>503</v>
      </c>
      <c r="D34" t="s">
        <v>504</v>
      </c>
      <c r="E34" t="str">
        <f>IFERROR(INDEX([3]Youtube___Daily_Shorts!$F:$F,MATCH(youtube_shorts[[#This Row],[YouTube URL]],[3]Youtube___Daily_Shorts!$C:$C,0),1),"_")</f>
        <v>_</v>
      </c>
      <c r="F34" t="s">
        <v>2780</v>
      </c>
      <c r="G34" t="s">
        <v>2747</v>
      </c>
      <c r="H3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5" spans="1:8" x14ac:dyDescent="0.25">
      <c r="A35" t="s">
        <v>2816</v>
      </c>
      <c r="B35" t="s">
        <v>5038</v>
      </c>
      <c r="C35" t="s">
        <v>1047</v>
      </c>
      <c r="D35" t="s">
        <v>5039</v>
      </c>
      <c r="E35" t="str">
        <f>IFERROR(INDEX([3]Youtube___Daily_Shorts!$F:$F,MATCH(youtube_shorts[[#This Row],[YouTube URL]],[3]Youtube___Daily_Shorts!$C:$C,0),1),"_")</f>
        <v>_</v>
      </c>
      <c r="F35" t="s">
        <v>3931</v>
      </c>
      <c r="G35" t="s">
        <v>2744</v>
      </c>
      <c r="H3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6" spans="1:8" x14ac:dyDescent="0.25">
      <c r="A36" t="s">
        <v>3901</v>
      </c>
      <c r="B36" t="s">
        <v>4455</v>
      </c>
      <c r="C36" t="s">
        <v>4456</v>
      </c>
      <c r="D36" t="s">
        <v>4457</v>
      </c>
      <c r="E36" t="str">
        <f>IFERROR(INDEX([3]Youtube___Daily_Shorts!$F:$F,MATCH(youtube_shorts[[#This Row],[YouTube URL]],[3]Youtube___Daily_Shorts!$C:$C,0),1),"_")</f>
        <v>_</v>
      </c>
      <c r="F36" t="s">
        <v>2831</v>
      </c>
      <c r="G36" t="s">
        <v>2794</v>
      </c>
      <c r="H3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7" spans="1:8" x14ac:dyDescent="0.25">
      <c r="A37" t="s">
        <v>3723</v>
      </c>
      <c r="B37" t="s">
        <v>4439</v>
      </c>
      <c r="C37" t="s">
        <v>4481</v>
      </c>
      <c r="D37" t="s">
        <v>4440</v>
      </c>
      <c r="E37" t="str">
        <f>IFERROR(INDEX([3]Youtube___Daily_Shorts!$F:$F,MATCH(youtube_shorts[[#This Row],[YouTube URL]],[3]Youtube___Daily_Shorts!$C:$C,0),1),"_")</f>
        <v>_</v>
      </c>
      <c r="F37" t="s">
        <v>2821</v>
      </c>
      <c r="G37" t="s">
        <v>2816</v>
      </c>
      <c r="H3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8" spans="1:8" x14ac:dyDescent="0.25">
      <c r="A38" t="s">
        <v>3902</v>
      </c>
      <c r="B38" t="s">
        <v>4414</v>
      </c>
      <c r="C38" t="s">
        <v>4476</v>
      </c>
      <c r="D38" t="s">
        <v>4015</v>
      </c>
      <c r="E38" t="str">
        <f>IFERROR(INDEX([3]Youtube___Daily_Shorts!$F:$F,MATCH(youtube_shorts[[#This Row],[YouTube URL]],[3]Youtube___Daily_Shorts!$C:$C,0),1),"_")</f>
        <v>_</v>
      </c>
      <c r="F38" t="s">
        <v>2816</v>
      </c>
      <c r="G38" t="s">
        <v>5160</v>
      </c>
      <c r="H3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9" spans="1:8" x14ac:dyDescent="0.25">
      <c r="A39" t="s">
        <v>2812</v>
      </c>
      <c r="B39" t="s">
        <v>4458</v>
      </c>
      <c r="C39" t="s">
        <v>4482</v>
      </c>
      <c r="D39" t="s">
        <v>4459</v>
      </c>
      <c r="E39" t="str">
        <f>IFERROR(INDEX([3]Youtube___Daily_Shorts!$F:$F,MATCH(youtube_shorts[[#This Row],[YouTube URL]],[3]Youtube___Daily_Shorts!$C:$C,0),1),"_")</f>
        <v>_</v>
      </c>
      <c r="F39" t="s">
        <v>2812</v>
      </c>
      <c r="G39" t="s">
        <v>2776</v>
      </c>
      <c r="H3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0" spans="1:8" x14ac:dyDescent="0.25">
      <c r="A40" t="s">
        <v>2828</v>
      </c>
      <c r="B40" t="s">
        <v>4669</v>
      </c>
      <c r="C40" t="s">
        <v>4670</v>
      </c>
      <c r="D40" t="s">
        <v>4671</v>
      </c>
      <c r="E40" t="str">
        <f>IFERROR(INDEX([3]Youtube___Daily_Shorts!$F:$F,MATCH(youtube_shorts[[#This Row],[YouTube URL]],[3]Youtube___Daily_Shorts!$C:$C,0),1),"_")</f>
        <v>_</v>
      </c>
      <c r="F40" t="s">
        <v>3901</v>
      </c>
      <c r="G40" t="s">
        <v>2753</v>
      </c>
      <c r="H4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1" spans="1:8" x14ac:dyDescent="0.25">
      <c r="A41" t="s">
        <v>4418</v>
      </c>
      <c r="B41" t="s">
        <v>4424</v>
      </c>
      <c r="C41" t="s">
        <v>3991</v>
      </c>
      <c r="D41" t="s">
        <v>3990</v>
      </c>
      <c r="E41" t="str">
        <f>IFERROR(INDEX([3]Youtube___Daily_Shorts!$F:$F,MATCH(youtube_shorts[[#This Row],[YouTube URL]],[3]Youtube___Daily_Shorts!$C:$C,0),1),"_")</f>
        <v>_</v>
      </c>
      <c r="F41" t="s">
        <v>3723</v>
      </c>
      <c r="G41" t="s">
        <v>3907</v>
      </c>
      <c r="H4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2" spans="1:8" x14ac:dyDescent="0.25">
      <c r="A42" t="s">
        <v>2832</v>
      </c>
      <c r="B42" t="s">
        <v>4465</v>
      </c>
      <c r="C42" t="s">
        <v>4484</v>
      </c>
      <c r="D42" t="s">
        <v>4466</v>
      </c>
      <c r="E42" t="str">
        <f>IFERROR(INDEX([3]Youtube___Daily_Shorts!$F:$F,MATCH(youtube_shorts[[#This Row],[YouTube URL]],[3]Youtube___Daily_Shorts!$C:$C,0),1),"_")</f>
        <v>_</v>
      </c>
      <c r="F42" t="s">
        <v>4418</v>
      </c>
      <c r="G42" t="s">
        <v>2838</v>
      </c>
      <c r="H4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3" spans="1:8" x14ac:dyDescent="0.25">
      <c r="A43" t="s">
        <v>3903</v>
      </c>
      <c r="B43" t="s">
        <v>4913</v>
      </c>
      <c r="C43" t="s">
        <v>4914</v>
      </c>
      <c r="D43" t="s">
        <v>4915</v>
      </c>
      <c r="E43" t="str">
        <f>IFERROR(INDEX([3]Youtube___Daily_Shorts!$F:$F,MATCH(youtube_shorts[[#This Row],[YouTube URL]],[3]Youtube___Daily_Shorts!$C:$C,0),1),"_")</f>
        <v>_</v>
      </c>
      <c r="F43" t="s">
        <v>2832</v>
      </c>
      <c r="G43" t="s">
        <v>4222</v>
      </c>
      <c r="H4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4" spans="1:8" x14ac:dyDescent="0.25">
      <c r="A44" t="s">
        <v>2834</v>
      </c>
      <c r="B44" t="s">
        <v>5036</v>
      </c>
      <c r="C44" t="s">
        <v>5037</v>
      </c>
      <c r="D44" t="s">
        <v>4279</v>
      </c>
      <c r="E44" t="str">
        <f>IFERROR(INDEX([3]Youtube___Daily_Shorts!$F:$F,MATCH(youtube_shorts[[#This Row],[YouTube URL]],[3]Youtube___Daily_Shorts!$C:$C,0),1),"_")</f>
        <v>_</v>
      </c>
      <c r="F44" t="s">
        <v>2828</v>
      </c>
      <c r="G44" t="s">
        <v>2744</v>
      </c>
      <c r="H4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5" spans="1:8" x14ac:dyDescent="0.25">
      <c r="A45" t="s">
        <v>3807</v>
      </c>
      <c r="B45" t="s">
        <v>5041</v>
      </c>
      <c r="C45" t="s">
        <v>5042</v>
      </c>
      <c r="D45" t="s">
        <v>5043</v>
      </c>
      <c r="E45" t="str">
        <f>IFERROR(INDEX([3]Youtube___Daily_Shorts!$F:$F,MATCH(youtube_shorts[[#This Row],[YouTube URL]],[3]Youtube___Daily_Shorts!$C:$C,0),1),"_")</f>
        <v>_</v>
      </c>
      <c r="F45" t="s">
        <v>4221</v>
      </c>
      <c r="G45" t="s">
        <v>2744</v>
      </c>
      <c r="H4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6" spans="1:8" x14ac:dyDescent="0.25">
      <c r="A46" t="s">
        <v>2843</v>
      </c>
      <c r="B46" t="s">
        <v>5040</v>
      </c>
      <c r="C46" t="s">
        <v>273</v>
      </c>
      <c r="D46" t="s">
        <v>1112</v>
      </c>
      <c r="E46" t="str">
        <f>IFERROR(INDEX([3]Youtube___Daily_Shorts!$F:$F,MATCH(youtube_shorts[[#This Row],[YouTube URL]],[3]Youtube___Daily_Shorts!$C:$C,0),1),"_")</f>
        <v>_</v>
      </c>
      <c r="F46" t="s">
        <v>4374</v>
      </c>
      <c r="G46" t="s">
        <v>2744</v>
      </c>
      <c r="H4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7" spans="1:8" x14ac:dyDescent="0.25">
      <c r="A47" t="s">
        <v>3931</v>
      </c>
      <c r="B47" t="s">
        <v>4429</v>
      </c>
      <c r="C47" t="s">
        <v>4477</v>
      </c>
      <c r="D47" t="s">
        <v>4430</v>
      </c>
      <c r="E47" t="str">
        <f>IFERROR(INDEX([3]Youtube___Daily_Shorts!$F:$F,MATCH(youtube_shorts[[#This Row],[YouTube URL]],[3]Youtube___Daily_Shorts!$C:$C,0),1),"_")</f>
        <v>_</v>
      </c>
      <c r="F47" t="s">
        <v>2843</v>
      </c>
      <c r="G47" t="s">
        <v>3726</v>
      </c>
      <c r="H4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8" spans="1:8" x14ac:dyDescent="0.25">
      <c r="A48" t="s">
        <v>4034</v>
      </c>
      <c r="B48" t="s">
        <v>4446</v>
      </c>
      <c r="C48" t="s">
        <v>4447</v>
      </c>
      <c r="D48" t="s">
        <v>4448</v>
      </c>
      <c r="E48" t="str">
        <f>IFERROR(INDEX([3]Youtube___Daily_Shorts!$F:$F,MATCH(youtube_shorts[[#This Row],[YouTube URL]],[3]Youtube___Daily_Shorts!$C:$C,0),1),"_")</f>
        <v>_</v>
      </c>
      <c r="F48" t="s">
        <v>2834</v>
      </c>
      <c r="G48" t="s">
        <v>5161</v>
      </c>
      <c r="H4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9" spans="1:8" x14ac:dyDescent="0.25">
      <c r="A49" t="s">
        <v>3933</v>
      </c>
      <c r="B49" t="s">
        <v>5162</v>
      </c>
      <c r="C49" t="s">
        <v>3915</v>
      </c>
      <c r="D49" t="s">
        <v>223</v>
      </c>
      <c r="E49" t="str">
        <f>IFERROR(INDEX([3]Youtube___Daily_Shorts!$F:$F,MATCH(youtube_shorts[[#This Row],[YouTube URL]],[3]Youtube___Daily_Shorts!$C:$C,0),1),"_")</f>
        <v>_</v>
      </c>
      <c r="F49" t="s">
        <v>2780</v>
      </c>
      <c r="G49" t="s">
        <v>4223</v>
      </c>
      <c r="H4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0" spans="1:8" x14ac:dyDescent="0.25">
      <c r="A50" t="s">
        <v>4374</v>
      </c>
      <c r="B50" t="s">
        <v>4916</v>
      </c>
      <c r="C50" t="s">
        <v>986</v>
      </c>
      <c r="D50" t="s">
        <v>987</v>
      </c>
      <c r="E50" t="str">
        <f>IFERROR(INDEX([3]Youtube___Daily_Shorts!$F:$F,MATCH(youtube_shorts[[#This Row],[YouTube URL]],[3]Youtube___Daily_Shorts!$C:$C,0),1),"_")</f>
        <v>_</v>
      </c>
      <c r="F50" t="s">
        <v>3807</v>
      </c>
      <c r="G50" t="s">
        <v>2759</v>
      </c>
      <c r="H5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1" spans="1:8" x14ac:dyDescent="0.25">
      <c r="A51" t="s">
        <v>4221</v>
      </c>
      <c r="B51" t="s">
        <v>2847</v>
      </c>
      <c r="C51" t="s">
        <v>5163</v>
      </c>
      <c r="D51" t="s">
        <v>2848</v>
      </c>
      <c r="E51" t="str">
        <f>IFERROR(INDEX([3]Youtube___Daily_Shorts!$F:$F,MATCH(youtube_shorts[[#This Row],[YouTube URL]],[3]Youtube___Daily_Shorts!$C:$C,0),1),"_")</f>
        <v>_</v>
      </c>
      <c r="F51" t="s">
        <v>2780</v>
      </c>
      <c r="G51" t="s">
        <v>3811</v>
      </c>
      <c r="H5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FB7EB-CD88-4A37-B88D-2ADF0CF0D770}">
  <sheetPr codeName="Planilha23"/>
  <dimension ref="A1:H101"/>
  <sheetViews>
    <sheetView showGridLines="0" zoomScale="90" zoomScaleNormal="90" workbookViewId="0">
      <selection activeCell="C10" sqref="C10"/>
    </sheetView>
  </sheetViews>
  <sheetFormatPr defaultRowHeight="15" x14ac:dyDescent="0.25"/>
  <cols>
    <col min="1" max="1" width="14.42578125" bestFit="1" customWidth="1"/>
    <col min="2" max="2" width="53.28515625" bestFit="1" customWidth="1"/>
    <col min="3" max="3" width="25" bestFit="1" customWidth="1"/>
    <col min="4" max="4" width="17" bestFit="1" customWidth="1"/>
    <col min="5" max="5" width="11.85546875" bestFit="1" customWidth="1"/>
    <col min="6" max="6" width="20.28515625" bestFit="1" customWidth="1"/>
    <col min="7" max="7" width="15.140625" bestFit="1" customWidth="1"/>
    <col min="8" max="8" width="14.28515625" bestFit="1" customWidth="1"/>
    <col min="9" max="9" width="14.140625" bestFit="1" customWidth="1"/>
    <col min="10" max="10" width="21.85546875" bestFit="1" customWidth="1"/>
    <col min="11" max="11" width="20.28515625" bestFit="1" customWidth="1"/>
  </cols>
  <sheetData>
    <row r="1" spans="1:8" x14ac:dyDescent="0.25">
      <c r="A1" t="s">
        <v>2877</v>
      </c>
      <c r="B1" t="s">
        <v>2878</v>
      </c>
      <c r="C1" t="s">
        <v>2987</v>
      </c>
      <c r="D1" t="s">
        <v>2882</v>
      </c>
      <c r="E1" t="s">
        <v>3943</v>
      </c>
      <c r="F1" t="s">
        <v>3944</v>
      </c>
      <c r="G1" t="s">
        <v>4203</v>
      </c>
      <c r="H1" t="s">
        <v>521</v>
      </c>
    </row>
    <row r="2" spans="1:8" x14ac:dyDescent="0.25">
      <c r="A2">
        <v>1</v>
      </c>
      <c r="B2" t="s">
        <v>4096</v>
      </c>
      <c r="C2" t="s">
        <v>43</v>
      </c>
      <c r="D2">
        <v>1</v>
      </c>
      <c r="E2">
        <v>1</v>
      </c>
      <c r="F2">
        <v>468</v>
      </c>
      <c r="G2">
        <v>68932136</v>
      </c>
      <c r="H2" s="3">
        <v>43866</v>
      </c>
    </row>
    <row r="3" spans="1:8" x14ac:dyDescent="0.25">
      <c r="A3">
        <v>2</v>
      </c>
      <c r="B3" t="s">
        <v>4097</v>
      </c>
      <c r="C3" t="s">
        <v>33</v>
      </c>
      <c r="D3">
        <v>2</v>
      </c>
      <c r="E3">
        <v>2</v>
      </c>
      <c r="F3">
        <v>291</v>
      </c>
      <c r="G3">
        <v>44958587</v>
      </c>
      <c r="H3" s="3">
        <v>45889</v>
      </c>
    </row>
    <row r="4" spans="1:8" x14ac:dyDescent="0.25">
      <c r="A4">
        <v>3</v>
      </c>
      <c r="B4" t="s">
        <v>4099</v>
      </c>
      <c r="C4" t="s">
        <v>561</v>
      </c>
      <c r="D4">
        <v>2</v>
      </c>
      <c r="E4">
        <v>3</v>
      </c>
      <c r="F4">
        <v>62</v>
      </c>
      <c r="G4">
        <v>38766553</v>
      </c>
      <c r="H4" s="3">
        <v>45728</v>
      </c>
    </row>
    <row r="5" spans="1:8" x14ac:dyDescent="0.25">
      <c r="A5">
        <v>4</v>
      </c>
      <c r="B5" t="s">
        <v>4098</v>
      </c>
      <c r="C5" t="s">
        <v>533</v>
      </c>
      <c r="D5">
        <v>1</v>
      </c>
      <c r="E5">
        <v>4</v>
      </c>
      <c r="F5">
        <v>207</v>
      </c>
      <c r="G5">
        <v>35157111</v>
      </c>
      <c r="H5" s="3">
        <v>44888</v>
      </c>
    </row>
    <row r="6" spans="1:8" x14ac:dyDescent="0.25">
      <c r="A6">
        <v>5</v>
      </c>
      <c r="B6" t="s">
        <v>4102</v>
      </c>
      <c r="C6" t="s">
        <v>69</v>
      </c>
      <c r="D6">
        <v>5</v>
      </c>
      <c r="E6">
        <v>5</v>
      </c>
      <c r="F6">
        <v>129</v>
      </c>
      <c r="G6">
        <v>30892240</v>
      </c>
      <c r="H6" s="3">
        <v>45896</v>
      </c>
    </row>
    <row r="7" spans="1:8" x14ac:dyDescent="0.25">
      <c r="A7">
        <v>6</v>
      </c>
      <c r="B7" t="s">
        <v>4101</v>
      </c>
      <c r="C7" t="s">
        <v>552</v>
      </c>
      <c r="D7">
        <v>1</v>
      </c>
      <c r="E7">
        <v>6</v>
      </c>
      <c r="F7">
        <v>468</v>
      </c>
      <c r="G7">
        <v>29093082</v>
      </c>
      <c r="H7" s="3">
        <v>43222</v>
      </c>
    </row>
    <row r="8" spans="1:8" x14ac:dyDescent="0.25">
      <c r="A8">
        <v>7</v>
      </c>
      <c r="B8" t="s">
        <v>4106</v>
      </c>
      <c r="C8" t="s">
        <v>4105</v>
      </c>
      <c r="D8">
        <v>2</v>
      </c>
      <c r="E8">
        <v>8</v>
      </c>
      <c r="F8">
        <v>327</v>
      </c>
      <c r="G8">
        <v>27897637</v>
      </c>
      <c r="H8" s="3">
        <v>45189</v>
      </c>
    </row>
    <row r="9" spans="1:8" x14ac:dyDescent="0.25">
      <c r="A9">
        <v>8</v>
      </c>
      <c r="B9" t="s">
        <v>4108</v>
      </c>
      <c r="C9" t="s">
        <v>538</v>
      </c>
      <c r="D9">
        <v>5</v>
      </c>
      <c r="E9">
        <v>10</v>
      </c>
      <c r="F9">
        <v>350</v>
      </c>
      <c r="G9">
        <v>27455673</v>
      </c>
      <c r="H9" s="3">
        <v>45518</v>
      </c>
    </row>
    <row r="10" spans="1:8" x14ac:dyDescent="0.25">
      <c r="A10">
        <v>9</v>
      </c>
      <c r="B10" t="s">
        <v>4100</v>
      </c>
      <c r="C10" t="s">
        <v>93</v>
      </c>
      <c r="D10">
        <v>1</v>
      </c>
      <c r="E10">
        <v>7</v>
      </c>
      <c r="F10">
        <v>468</v>
      </c>
      <c r="G10">
        <v>27330726</v>
      </c>
      <c r="H10" s="3">
        <v>43439</v>
      </c>
    </row>
    <row r="11" spans="1:8" x14ac:dyDescent="0.25">
      <c r="A11">
        <v>10</v>
      </c>
      <c r="B11" t="s">
        <v>4104</v>
      </c>
      <c r="C11" t="s">
        <v>152</v>
      </c>
      <c r="D11">
        <v>2</v>
      </c>
      <c r="E11">
        <v>9</v>
      </c>
      <c r="F11">
        <v>468</v>
      </c>
      <c r="G11">
        <v>27000430</v>
      </c>
      <c r="H11" s="3">
        <v>43229</v>
      </c>
    </row>
    <row r="12" spans="1:8" x14ac:dyDescent="0.25">
      <c r="A12">
        <v>11</v>
      </c>
      <c r="B12" t="s">
        <v>4103</v>
      </c>
      <c r="C12" t="s">
        <v>46</v>
      </c>
      <c r="D12">
        <v>1</v>
      </c>
      <c r="E12">
        <v>11</v>
      </c>
      <c r="F12">
        <v>468</v>
      </c>
      <c r="G12">
        <v>26403176</v>
      </c>
      <c r="H12" s="3">
        <v>43271</v>
      </c>
    </row>
    <row r="13" spans="1:8" x14ac:dyDescent="0.25">
      <c r="A13">
        <v>12</v>
      </c>
      <c r="B13" t="s">
        <v>4107</v>
      </c>
      <c r="C13" t="s">
        <v>563</v>
      </c>
      <c r="D13">
        <v>1</v>
      </c>
      <c r="E13">
        <v>12</v>
      </c>
      <c r="F13">
        <v>165</v>
      </c>
      <c r="G13">
        <v>25303638</v>
      </c>
      <c r="H13" s="3">
        <v>45658</v>
      </c>
    </row>
    <row r="14" spans="1:8" x14ac:dyDescent="0.25">
      <c r="A14">
        <v>13</v>
      </c>
      <c r="B14" t="s">
        <v>4110</v>
      </c>
      <c r="C14" t="s">
        <v>547</v>
      </c>
      <c r="D14">
        <v>7</v>
      </c>
      <c r="E14">
        <v>14</v>
      </c>
      <c r="F14">
        <v>312</v>
      </c>
      <c r="G14">
        <v>23840994</v>
      </c>
      <c r="H14" s="3">
        <v>45826</v>
      </c>
    </row>
    <row r="15" spans="1:8" x14ac:dyDescent="0.25">
      <c r="A15">
        <v>14</v>
      </c>
      <c r="B15" t="s">
        <v>4111</v>
      </c>
      <c r="C15" t="s">
        <v>743</v>
      </c>
      <c r="D15">
        <v>7</v>
      </c>
      <c r="E15">
        <v>15</v>
      </c>
      <c r="F15">
        <v>280</v>
      </c>
      <c r="G15">
        <v>23245087</v>
      </c>
      <c r="H15" s="3">
        <v>45770</v>
      </c>
    </row>
    <row r="16" spans="1:8" x14ac:dyDescent="0.25">
      <c r="A16">
        <v>15</v>
      </c>
      <c r="B16" t="s">
        <v>4109</v>
      </c>
      <c r="C16" t="s">
        <v>597</v>
      </c>
      <c r="D16">
        <v>1</v>
      </c>
      <c r="E16">
        <v>13</v>
      </c>
      <c r="F16">
        <v>468</v>
      </c>
      <c r="G16">
        <v>23146280</v>
      </c>
      <c r="H16" s="3">
        <v>43264</v>
      </c>
    </row>
    <row r="17" spans="1:8" x14ac:dyDescent="0.25">
      <c r="A17">
        <v>16</v>
      </c>
      <c r="B17" t="s">
        <v>4112</v>
      </c>
      <c r="C17" t="s">
        <v>622</v>
      </c>
      <c r="D17">
        <v>16</v>
      </c>
      <c r="E17">
        <v>16</v>
      </c>
      <c r="F17">
        <v>464</v>
      </c>
      <c r="G17">
        <v>22524073</v>
      </c>
      <c r="H17" s="3">
        <v>45840</v>
      </c>
    </row>
    <row r="18" spans="1:8" x14ac:dyDescent="0.25">
      <c r="A18">
        <v>17</v>
      </c>
      <c r="B18" t="s">
        <v>4114</v>
      </c>
      <c r="C18" t="s">
        <v>567</v>
      </c>
      <c r="D18">
        <v>7</v>
      </c>
      <c r="E18">
        <v>17</v>
      </c>
      <c r="F18">
        <v>468</v>
      </c>
      <c r="G18">
        <v>21197328</v>
      </c>
      <c r="H18" s="3">
        <v>43705</v>
      </c>
    </row>
    <row r="19" spans="1:8" x14ac:dyDescent="0.25">
      <c r="A19">
        <v>18</v>
      </c>
      <c r="B19" t="s">
        <v>4127</v>
      </c>
      <c r="C19" t="s">
        <v>170</v>
      </c>
      <c r="D19">
        <v>1</v>
      </c>
      <c r="E19">
        <v>21</v>
      </c>
      <c r="F19">
        <v>185</v>
      </c>
      <c r="G19">
        <v>20861575</v>
      </c>
      <c r="H19" s="3">
        <v>45014</v>
      </c>
    </row>
    <row r="20" spans="1:8" x14ac:dyDescent="0.25">
      <c r="A20">
        <v>19</v>
      </c>
      <c r="B20" t="s">
        <v>4117</v>
      </c>
      <c r="C20" t="s">
        <v>298</v>
      </c>
      <c r="D20">
        <v>2</v>
      </c>
      <c r="E20">
        <v>18</v>
      </c>
      <c r="F20">
        <v>468</v>
      </c>
      <c r="G20">
        <v>20274262</v>
      </c>
      <c r="H20" s="3">
        <v>43607</v>
      </c>
    </row>
    <row r="21" spans="1:8" x14ac:dyDescent="0.25">
      <c r="A21">
        <v>20</v>
      </c>
      <c r="B21" t="s">
        <v>4116</v>
      </c>
      <c r="C21" t="s">
        <v>607</v>
      </c>
      <c r="D21">
        <v>5</v>
      </c>
      <c r="E21">
        <v>22</v>
      </c>
      <c r="F21">
        <v>468</v>
      </c>
      <c r="G21">
        <v>20233612</v>
      </c>
      <c r="H21" s="3">
        <v>44272</v>
      </c>
    </row>
    <row r="22" spans="1:8" x14ac:dyDescent="0.25">
      <c r="A22">
        <v>21</v>
      </c>
      <c r="B22" t="s">
        <v>4113</v>
      </c>
      <c r="C22" t="s">
        <v>554</v>
      </c>
      <c r="D22">
        <v>8</v>
      </c>
      <c r="E22">
        <v>19</v>
      </c>
      <c r="F22">
        <v>52</v>
      </c>
      <c r="G22">
        <v>20220393</v>
      </c>
      <c r="H22" s="3">
        <v>45700</v>
      </c>
    </row>
    <row r="23" spans="1:8" x14ac:dyDescent="0.25">
      <c r="A23">
        <v>22</v>
      </c>
      <c r="B23" t="s">
        <v>4118</v>
      </c>
      <c r="C23" t="s">
        <v>569</v>
      </c>
      <c r="D23">
        <v>21</v>
      </c>
      <c r="E23">
        <v>23</v>
      </c>
      <c r="F23">
        <v>41</v>
      </c>
      <c r="G23">
        <v>20136045</v>
      </c>
      <c r="H23" s="3">
        <v>45882</v>
      </c>
    </row>
    <row r="24" spans="1:8" x14ac:dyDescent="0.25">
      <c r="A24">
        <v>23</v>
      </c>
      <c r="B24" t="s">
        <v>4115</v>
      </c>
      <c r="C24" t="s">
        <v>580</v>
      </c>
      <c r="D24">
        <v>7</v>
      </c>
      <c r="E24">
        <v>20</v>
      </c>
      <c r="F24">
        <v>190</v>
      </c>
      <c r="G24">
        <v>19716286</v>
      </c>
      <c r="H24" s="3">
        <v>45714</v>
      </c>
    </row>
    <row r="25" spans="1:8" x14ac:dyDescent="0.25">
      <c r="A25">
        <v>24</v>
      </c>
      <c r="B25" t="s">
        <v>4119</v>
      </c>
      <c r="C25" t="s">
        <v>584</v>
      </c>
      <c r="D25">
        <v>15</v>
      </c>
      <c r="E25">
        <v>24</v>
      </c>
      <c r="F25">
        <v>468</v>
      </c>
      <c r="G25">
        <v>18926755</v>
      </c>
      <c r="H25" s="3">
        <v>45287</v>
      </c>
    </row>
    <row r="26" spans="1:8" x14ac:dyDescent="0.25">
      <c r="A26">
        <v>25</v>
      </c>
      <c r="B26" t="s">
        <v>4120</v>
      </c>
      <c r="C26" t="s">
        <v>601</v>
      </c>
      <c r="D26">
        <v>8</v>
      </c>
      <c r="E26">
        <v>26</v>
      </c>
      <c r="F26">
        <v>244</v>
      </c>
      <c r="G26">
        <v>18326074</v>
      </c>
      <c r="H26" s="3">
        <v>45693</v>
      </c>
    </row>
    <row r="27" spans="1:8" x14ac:dyDescent="0.25">
      <c r="A27">
        <v>26</v>
      </c>
      <c r="B27" t="s">
        <v>4121</v>
      </c>
      <c r="C27" t="s">
        <v>669</v>
      </c>
      <c r="D27">
        <v>2</v>
      </c>
      <c r="E27">
        <v>27</v>
      </c>
      <c r="F27">
        <v>468</v>
      </c>
      <c r="G27">
        <v>18117571</v>
      </c>
      <c r="H27" s="3">
        <v>44069</v>
      </c>
    </row>
    <row r="28" spans="1:8" x14ac:dyDescent="0.25">
      <c r="A28">
        <v>27</v>
      </c>
      <c r="B28" t="s">
        <v>4122</v>
      </c>
      <c r="C28" t="s">
        <v>586</v>
      </c>
      <c r="D28">
        <v>9</v>
      </c>
      <c r="E28">
        <v>28</v>
      </c>
      <c r="F28">
        <v>468</v>
      </c>
      <c r="G28">
        <v>17825210</v>
      </c>
      <c r="H28" s="3">
        <v>44657</v>
      </c>
    </row>
    <row r="29" spans="1:8" x14ac:dyDescent="0.25">
      <c r="A29">
        <v>28</v>
      </c>
      <c r="B29" t="s">
        <v>4135</v>
      </c>
      <c r="C29" t="s">
        <v>665</v>
      </c>
      <c r="D29">
        <v>2</v>
      </c>
      <c r="E29">
        <v>25</v>
      </c>
      <c r="F29">
        <v>296</v>
      </c>
      <c r="G29">
        <v>17675049</v>
      </c>
      <c r="H29" s="3">
        <v>44594</v>
      </c>
    </row>
    <row r="30" spans="1:8" x14ac:dyDescent="0.25">
      <c r="A30">
        <v>29</v>
      </c>
      <c r="B30" t="s">
        <v>4128</v>
      </c>
      <c r="C30" t="s">
        <v>833</v>
      </c>
      <c r="D30">
        <v>7</v>
      </c>
      <c r="E30">
        <v>34</v>
      </c>
      <c r="F30">
        <v>468</v>
      </c>
      <c r="G30">
        <v>17090142</v>
      </c>
      <c r="H30" s="3">
        <v>43957</v>
      </c>
    </row>
    <row r="31" spans="1:8" x14ac:dyDescent="0.25">
      <c r="A31">
        <v>30</v>
      </c>
      <c r="B31" t="s">
        <v>4126</v>
      </c>
      <c r="C31" t="s">
        <v>588</v>
      </c>
      <c r="D31">
        <v>2</v>
      </c>
      <c r="E31">
        <v>30</v>
      </c>
      <c r="F31">
        <v>345</v>
      </c>
      <c r="G31">
        <v>17062593</v>
      </c>
      <c r="H31" s="3">
        <v>45056</v>
      </c>
    </row>
    <row r="32" spans="1:8" x14ac:dyDescent="0.25">
      <c r="A32">
        <v>31</v>
      </c>
      <c r="B32" t="s">
        <v>4149</v>
      </c>
      <c r="C32" t="s">
        <v>4148</v>
      </c>
      <c r="D32">
        <v>31</v>
      </c>
      <c r="E32">
        <v>43</v>
      </c>
      <c r="F32">
        <v>260</v>
      </c>
      <c r="G32">
        <v>16224187</v>
      </c>
      <c r="H32" s="3">
        <v>45903</v>
      </c>
    </row>
    <row r="33" spans="1:8" x14ac:dyDescent="0.25">
      <c r="A33">
        <v>32</v>
      </c>
      <c r="B33" t="s">
        <v>4125</v>
      </c>
      <c r="C33" t="s">
        <v>575</v>
      </c>
      <c r="D33">
        <v>28</v>
      </c>
      <c r="E33">
        <v>33</v>
      </c>
      <c r="F33">
        <v>34</v>
      </c>
      <c r="G33">
        <v>15798454</v>
      </c>
      <c r="H33" s="3">
        <v>45784</v>
      </c>
    </row>
    <row r="34" spans="1:8" x14ac:dyDescent="0.25">
      <c r="A34">
        <v>33</v>
      </c>
      <c r="B34" t="s">
        <v>4123</v>
      </c>
      <c r="C34" t="s">
        <v>22</v>
      </c>
      <c r="D34">
        <v>8</v>
      </c>
      <c r="E34">
        <v>29</v>
      </c>
      <c r="F34">
        <v>341</v>
      </c>
      <c r="G34">
        <v>15707358</v>
      </c>
      <c r="H34" s="3">
        <v>43698</v>
      </c>
    </row>
    <row r="35" spans="1:8" x14ac:dyDescent="0.25">
      <c r="A35">
        <v>34</v>
      </c>
      <c r="B35" t="s">
        <v>4124</v>
      </c>
      <c r="C35" t="s">
        <v>612</v>
      </c>
      <c r="D35">
        <v>12</v>
      </c>
      <c r="E35">
        <v>32</v>
      </c>
      <c r="F35">
        <v>244</v>
      </c>
      <c r="G35">
        <v>15425552</v>
      </c>
      <c r="H35" s="3">
        <v>45112</v>
      </c>
    </row>
    <row r="36" spans="1:8" x14ac:dyDescent="0.25">
      <c r="A36">
        <v>35</v>
      </c>
      <c r="B36" t="s">
        <v>4141</v>
      </c>
      <c r="C36" t="s">
        <v>614</v>
      </c>
      <c r="D36">
        <v>5</v>
      </c>
      <c r="E36">
        <v>31</v>
      </c>
      <c r="F36">
        <v>386</v>
      </c>
      <c r="G36">
        <v>14876144</v>
      </c>
      <c r="H36" s="3">
        <v>44153</v>
      </c>
    </row>
    <row r="37" spans="1:8" x14ac:dyDescent="0.25">
      <c r="A37">
        <v>36</v>
      </c>
      <c r="B37" t="s">
        <v>4129</v>
      </c>
      <c r="C37" t="s">
        <v>720</v>
      </c>
      <c r="D37">
        <v>9</v>
      </c>
      <c r="E37">
        <v>37</v>
      </c>
      <c r="F37">
        <v>190</v>
      </c>
      <c r="G37">
        <v>14865248</v>
      </c>
      <c r="H37" s="3">
        <v>45665</v>
      </c>
    </row>
    <row r="38" spans="1:8" x14ac:dyDescent="0.25">
      <c r="A38">
        <v>37</v>
      </c>
      <c r="B38" t="s">
        <v>4131</v>
      </c>
      <c r="C38" t="s">
        <v>4130</v>
      </c>
      <c r="D38">
        <v>34</v>
      </c>
      <c r="E38">
        <v>39</v>
      </c>
      <c r="F38">
        <v>95</v>
      </c>
      <c r="G38">
        <v>14712484</v>
      </c>
      <c r="H38" s="3">
        <v>45854</v>
      </c>
    </row>
    <row r="39" spans="1:8" x14ac:dyDescent="0.25">
      <c r="A39">
        <v>38</v>
      </c>
      <c r="B39" t="s">
        <v>4140</v>
      </c>
      <c r="C39" t="s">
        <v>769</v>
      </c>
      <c r="D39">
        <v>10</v>
      </c>
      <c r="E39">
        <v>35</v>
      </c>
      <c r="F39">
        <v>402</v>
      </c>
      <c r="G39">
        <v>14641094</v>
      </c>
      <c r="H39" s="3">
        <v>44223</v>
      </c>
    </row>
    <row r="40" spans="1:8" x14ac:dyDescent="0.25">
      <c r="A40">
        <v>39</v>
      </c>
      <c r="B40" t="s">
        <v>4132</v>
      </c>
      <c r="C40" t="s">
        <v>578</v>
      </c>
      <c r="D40">
        <v>10</v>
      </c>
      <c r="E40">
        <v>41</v>
      </c>
      <c r="F40">
        <v>270</v>
      </c>
      <c r="G40">
        <v>14606358</v>
      </c>
      <c r="H40" s="3">
        <v>44881</v>
      </c>
    </row>
    <row r="41" spans="1:8" x14ac:dyDescent="0.25">
      <c r="A41">
        <v>40</v>
      </c>
      <c r="B41" t="s">
        <v>4133</v>
      </c>
      <c r="C41" t="s">
        <v>618</v>
      </c>
      <c r="D41">
        <v>6</v>
      </c>
      <c r="E41">
        <v>38</v>
      </c>
      <c r="F41">
        <v>248</v>
      </c>
      <c r="G41">
        <v>14460524</v>
      </c>
      <c r="H41" s="3">
        <v>45665</v>
      </c>
    </row>
    <row r="42" spans="1:8" x14ac:dyDescent="0.25">
      <c r="A42">
        <v>41</v>
      </c>
      <c r="B42" t="s">
        <v>4136</v>
      </c>
      <c r="C42" t="s">
        <v>595</v>
      </c>
      <c r="D42">
        <v>1</v>
      </c>
      <c r="E42">
        <v>40</v>
      </c>
      <c r="F42">
        <v>457</v>
      </c>
      <c r="G42">
        <v>14266008</v>
      </c>
      <c r="H42" s="3">
        <v>44342</v>
      </c>
    </row>
    <row r="43" spans="1:8" x14ac:dyDescent="0.25">
      <c r="A43">
        <v>42</v>
      </c>
      <c r="B43" t="s">
        <v>4134</v>
      </c>
      <c r="C43" t="s">
        <v>527</v>
      </c>
      <c r="D43">
        <v>8</v>
      </c>
      <c r="E43">
        <v>36</v>
      </c>
      <c r="F43">
        <v>191</v>
      </c>
      <c r="G43">
        <v>14121599</v>
      </c>
      <c r="H43" s="3">
        <v>45154</v>
      </c>
    </row>
    <row r="44" spans="1:8" x14ac:dyDescent="0.25">
      <c r="A44">
        <v>43</v>
      </c>
      <c r="B44" t="s">
        <v>4138</v>
      </c>
      <c r="C44" t="s">
        <v>3911</v>
      </c>
      <c r="D44">
        <v>32</v>
      </c>
      <c r="E44">
        <v>42</v>
      </c>
      <c r="F44">
        <v>237</v>
      </c>
      <c r="G44">
        <v>13521192</v>
      </c>
      <c r="H44" s="3">
        <v>45854</v>
      </c>
    </row>
    <row r="45" spans="1:8" x14ac:dyDescent="0.25">
      <c r="A45">
        <v>44</v>
      </c>
      <c r="B45" t="s">
        <v>4143</v>
      </c>
      <c r="C45" t="s">
        <v>4142</v>
      </c>
      <c r="D45">
        <v>2</v>
      </c>
      <c r="E45">
        <v>44</v>
      </c>
      <c r="F45">
        <v>468</v>
      </c>
      <c r="G45">
        <v>13409616</v>
      </c>
      <c r="H45" s="3">
        <v>44335</v>
      </c>
    </row>
    <row r="46" spans="1:8" x14ac:dyDescent="0.25">
      <c r="A46">
        <v>45</v>
      </c>
      <c r="B46" t="s">
        <v>4144</v>
      </c>
      <c r="C46" t="s">
        <v>603</v>
      </c>
      <c r="D46">
        <v>6</v>
      </c>
      <c r="E46">
        <v>47</v>
      </c>
      <c r="F46">
        <v>75</v>
      </c>
      <c r="G46">
        <v>13192595</v>
      </c>
      <c r="H46" s="3">
        <v>45602</v>
      </c>
    </row>
    <row r="47" spans="1:8" x14ac:dyDescent="0.25">
      <c r="A47">
        <v>46</v>
      </c>
      <c r="B47" t="s">
        <v>4176</v>
      </c>
      <c r="C47" t="s">
        <v>2425</v>
      </c>
      <c r="D47">
        <v>46</v>
      </c>
      <c r="E47">
        <v>68</v>
      </c>
      <c r="F47">
        <v>157</v>
      </c>
      <c r="G47">
        <v>13187255</v>
      </c>
      <c r="H47" s="3">
        <v>45903</v>
      </c>
    </row>
    <row r="48" spans="1:8" x14ac:dyDescent="0.25">
      <c r="A48">
        <v>47</v>
      </c>
      <c r="B48" t="s">
        <v>4147</v>
      </c>
      <c r="C48" t="s">
        <v>4146</v>
      </c>
      <c r="D48">
        <v>28</v>
      </c>
      <c r="E48">
        <v>48</v>
      </c>
      <c r="F48">
        <v>406</v>
      </c>
      <c r="G48">
        <v>13185267</v>
      </c>
      <c r="H48" s="3">
        <v>43789</v>
      </c>
    </row>
    <row r="49" spans="1:8" x14ac:dyDescent="0.25">
      <c r="A49">
        <v>48</v>
      </c>
      <c r="B49" t="s">
        <v>4157</v>
      </c>
      <c r="C49" t="s">
        <v>599</v>
      </c>
      <c r="D49">
        <v>12</v>
      </c>
      <c r="E49">
        <v>49</v>
      </c>
      <c r="F49">
        <v>180</v>
      </c>
      <c r="G49">
        <v>13172565</v>
      </c>
      <c r="H49" s="3">
        <v>45196</v>
      </c>
    </row>
    <row r="50" spans="1:8" x14ac:dyDescent="0.25">
      <c r="A50">
        <v>49</v>
      </c>
      <c r="B50" t="s">
        <v>4161</v>
      </c>
      <c r="C50" t="s">
        <v>714</v>
      </c>
      <c r="D50">
        <v>34</v>
      </c>
      <c r="E50">
        <v>54</v>
      </c>
      <c r="F50">
        <v>245</v>
      </c>
      <c r="G50">
        <v>12621503</v>
      </c>
      <c r="H50" s="3">
        <v>45490</v>
      </c>
    </row>
    <row r="51" spans="1:8" x14ac:dyDescent="0.25">
      <c r="A51">
        <v>50</v>
      </c>
      <c r="B51" t="s">
        <v>4145</v>
      </c>
      <c r="C51" t="s">
        <v>571</v>
      </c>
      <c r="D51">
        <v>40</v>
      </c>
      <c r="E51">
        <v>51</v>
      </c>
      <c r="F51">
        <v>240</v>
      </c>
      <c r="G51">
        <v>12614019</v>
      </c>
      <c r="H51" s="3">
        <v>45826</v>
      </c>
    </row>
    <row r="52" spans="1:8" x14ac:dyDescent="0.25">
      <c r="A52">
        <v>51</v>
      </c>
      <c r="B52" t="s">
        <v>4164</v>
      </c>
      <c r="C52" t="s">
        <v>316</v>
      </c>
      <c r="D52">
        <v>5</v>
      </c>
      <c r="E52">
        <v>53</v>
      </c>
      <c r="F52">
        <v>374</v>
      </c>
      <c r="G52">
        <v>12532249</v>
      </c>
      <c r="H52" s="3">
        <v>43383</v>
      </c>
    </row>
    <row r="53" spans="1:8" x14ac:dyDescent="0.25">
      <c r="A53">
        <v>52</v>
      </c>
      <c r="B53" t="s">
        <v>4137</v>
      </c>
      <c r="C53" t="s">
        <v>458</v>
      </c>
      <c r="D53">
        <v>12</v>
      </c>
      <c r="E53">
        <v>45</v>
      </c>
      <c r="F53">
        <v>352</v>
      </c>
      <c r="G53">
        <v>12514237</v>
      </c>
      <c r="H53" s="3">
        <v>43663</v>
      </c>
    </row>
    <row r="54" spans="1:8" x14ac:dyDescent="0.25">
      <c r="A54">
        <v>53</v>
      </c>
      <c r="B54" t="s">
        <v>4153</v>
      </c>
      <c r="C54" t="s">
        <v>4152</v>
      </c>
      <c r="D54">
        <v>46</v>
      </c>
      <c r="E54">
        <v>52</v>
      </c>
      <c r="F54">
        <v>202</v>
      </c>
      <c r="G54">
        <v>12502139</v>
      </c>
      <c r="H54" s="3">
        <v>45882</v>
      </c>
    </row>
    <row r="55" spans="1:8" x14ac:dyDescent="0.25">
      <c r="A55">
        <v>54</v>
      </c>
      <c r="B55" t="s">
        <v>4320</v>
      </c>
      <c r="C55" t="s">
        <v>523</v>
      </c>
      <c r="D55">
        <v>9</v>
      </c>
      <c r="E55">
        <v>50</v>
      </c>
      <c r="F55">
        <v>237</v>
      </c>
      <c r="G55">
        <v>12482837</v>
      </c>
      <c r="H55" s="3">
        <v>44804</v>
      </c>
    </row>
    <row r="56" spans="1:8" x14ac:dyDescent="0.25">
      <c r="A56">
        <v>55</v>
      </c>
      <c r="B56" t="s">
        <v>4151</v>
      </c>
      <c r="C56" t="s">
        <v>4150</v>
      </c>
      <c r="D56">
        <v>6</v>
      </c>
      <c r="E56">
        <v>46</v>
      </c>
      <c r="F56">
        <v>450</v>
      </c>
      <c r="G56">
        <v>12470302</v>
      </c>
      <c r="H56" s="3">
        <v>45336</v>
      </c>
    </row>
    <row r="57" spans="1:8" x14ac:dyDescent="0.25">
      <c r="A57">
        <v>56</v>
      </c>
      <c r="B57" t="s">
        <v>4162</v>
      </c>
      <c r="C57" t="s">
        <v>148</v>
      </c>
      <c r="D57">
        <v>2</v>
      </c>
      <c r="E57">
        <v>56</v>
      </c>
      <c r="F57">
        <v>327</v>
      </c>
      <c r="G57">
        <v>12311628</v>
      </c>
      <c r="H57" s="3">
        <v>44090</v>
      </c>
    </row>
    <row r="58" spans="1:8" x14ac:dyDescent="0.25">
      <c r="A58">
        <v>57</v>
      </c>
      <c r="B58" t="s">
        <v>4163</v>
      </c>
      <c r="C58" t="s">
        <v>695</v>
      </c>
      <c r="D58">
        <v>12</v>
      </c>
      <c r="E58">
        <v>60</v>
      </c>
      <c r="F58">
        <v>225</v>
      </c>
      <c r="G58">
        <v>12141340</v>
      </c>
      <c r="H58" s="3">
        <v>44839</v>
      </c>
    </row>
    <row r="59" spans="1:8" x14ac:dyDescent="0.25">
      <c r="A59">
        <v>58</v>
      </c>
      <c r="B59" t="s">
        <v>4159</v>
      </c>
      <c r="C59" t="s">
        <v>2723</v>
      </c>
      <c r="D59">
        <v>10</v>
      </c>
      <c r="E59">
        <v>59</v>
      </c>
      <c r="F59">
        <v>282</v>
      </c>
      <c r="G59">
        <v>12054915</v>
      </c>
      <c r="H59" s="3">
        <v>44622</v>
      </c>
    </row>
    <row r="60" spans="1:8" x14ac:dyDescent="0.25">
      <c r="A60">
        <v>59</v>
      </c>
      <c r="B60" t="s">
        <v>4160</v>
      </c>
      <c r="C60" t="s">
        <v>624</v>
      </c>
      <c r="D60">
        <v>3</v>
      </c>
      <c r="E60">
        <v>61</v>
      </c>
      <c r="F60">
        <v>228</v>
      </c>
      <c r="G60">
        <v>12030892</v>
      </c>
      <c r="H60" s="3">
        <v>45364</v>
      </c>
    </row>
    <row r="61" spans="1:8" x14ac:dyDescent="0.25">
      <c r="A61">
        <v>60</v>
      </c>
      <c r="B61" t="s">
        <v>4158</v>
      </c>
      <c r="C61" t="s">
        <v>652</v>
      </c>
      <c r="D61">
        <v>32</v>
      </c>
      <c r="E61">
        <v>57</v>
      </c>
      <c r="F61">
        <v>448</v>
      </c>
      <c r="G61">
        <v>11805177</v>
      </c>
      <c r="H61" s="3">
        <v>43593</v>
      </c>
    </row>
    <row r="62" spans="1:8" x14ac:dyDescent="0.25">
      <c r="A62">
        <v>61</v>
      </c>
      <c r="B62" t="s">
        <v>4156</v>
      </c>
      <c r="C62" t="s">
        <v>731</v>
      </c>
      <c r="D62">
        <v>17</v>
      </c>
      <c r="E62">
        <v>55</v>
      </c>
      <c r="F62">
        <v>194</v>
      </c>
      <c r="G62">
        <v>11682855</v>
      </c>
      <c r="H62" s="3">
        <v>44832</v>
      </c>
    </row>
    <row r="63" spans="1:8" x14ac:dyDescent="0.25">
      <c r="A63">
        <v>62</v>
      </c>
      <c r="B63" t="s">
        <v>4181</v>
      </c>
      <c r="C63" t="s">
        <v>3936</v>
      </c>
      <c r="D63">
        <v>2</v>
      </c>
      <c r="E63">
        <v>65</v>
      </c>
      <c r="F63">
        <v>260</v>
      </c>
      <c r="G63">
        <v>11633364</v>
      </c>
      <c r="H63" s="3">
        <v>44321</v>
      </c>
    </row>
    <row r="64" spans="1:8" x14ac:dyDescent="0.25">
      <c r="A64">
        <v>63</v>
      </c>
      <c r="B64" t="s">
        <v>4167</v>
      </c>
      <c r="C64" t="s">
        <v>281</v>
      </c>
      <c r="D64">
        <v>41</v>
      </c>
      <c r="E64">
        <v>64</v>
      </c>
      <c r="F64">
        <v>468</v>
      </c>
      <c r="G64">
        <v>11609634</v>
      </c>
      <c r="H64" s="3">
        <v>43271</v>
      </c>
    </row>
    <row r="65" spans="1:8" x14ac:dyDescent="0.25">
      <c r="A65">
        <v>64</v>
      </c>
      <c r="B65" t="s">
        <v>4155</v>
      </c>
      <c r="C65" t="s">
        <v>4154</v>
      </c>
      <c r="D65">
        <v>17</v>
      </c>
      <c r="E65">
        <v>58</v>
      </c>
      <c r="F65">
        <v>86</v>
      </c>
      <c r="G65">
        <v>11559948</v>
      </c>
      <c r="H65" s="3">
        <v>44265</v>
      </c>
    </row>
    <row r="66" spans="1:8" x14ac:dyDescent="0.25">
      <c r="A66">
        <v>65</v>
      </c>
      <c r="B66" t="s">
        <v>4166</v>
      </c>
      <c r="C66" t="s">
        <v>4165</v>
      </c>
      <c r="D66">
        <v>8</v>
      </c>
      <c r="E66">
        <v>62</v>
      </c>
      <c r="F66">
        <v>138</v>
      </c>
      <c r="G66">
        <v>11240178</v>
      </c>
      <c r="H66" s="3">
        <v>45665</v>
      </c>
    </row>
    <row r="67" spans="1:8" x14ac:dyDescent="0.25">
      <c r="A67">
        <v>66</v>
      </c>
      <c r="B67" t="s">
        <v>4172</v>
      </c>
      <c r="C67" t="s">
        <v>542</v>
      </c>
      <c r="D67">
        <v>11</v>
      </c>
      <c r="E67">
        <v>63</v>
      </c>
      <c r="F67">
        <v>146</v>
      </c>
      <c r="G67">
        <v>11084849</v>
      </c>
      <c r="H67" s="3">
        <v>45070</v>
      </c>
    </row>
    <row r="68" spans="1:8" x14ac:dyDescent="0.25">
      <c r="A68">
        <v>67</v>
      </c>
      <c r="B68" t="s">
        <v>4170</v>
      </c>
      <c r="C68" t="s">
        <v>164</v>
      </c>
      <c r="D68">
        <v>62</v>
      </c>
      <c r="E68">
        <v>66</v>
      </c>
      <c r="F68">
        <v>179</v>
      </c>
      <c r="G68">
        <v>11072656</v>
      </c>
      <c r="H68" s="3">
        <v>45875</v>
      </c>
    </row>
    <row r="69" spans="1:8" x14ac:dyDescent="0.25">
      <c r="A69">
        <v>68</v>
      </c>
      <c r="B69" t="s">
        <v>4173</v>
      </c>
      <c r="C69" t="s">
        <v>678</v>
      </c>
      <c r="D69">
        <v>8</v>
      </c>
      <c r="E69">
        <v>67</v>
      </c>
      <c r="F69">
        <v>468</v>
      </c>
      <c r="G69">
        <v>11064440</v>
      </c>
      <c r="H69" s="3">
        <v>43733</v>
      </c>
    </row>
    <row r="70" spans="1:8" x14ac:dyDescent="0.25">
      <c r="A70">
        <v>69</v>
      </c>
      <c r="B70" t="s">
        <v>4171</v>
      </c>
      <c r="C70" t="s">
        <v>133</v>
      </c>
      <c r="D70">
        <v>16</v>
      </c>
      <c r="E70">
        <v>69</v>
      </c>
      <c r="F70">
        <v>240</v>
      </c>
      <c r="G70">
        <v>10583658</v>
      </c>
      <c r="H70" s="3">
        <v>45462</v>
      </c>
    </row>
    <row r="71" spans="1:8" x14ac:dyDescent="0.25">
      <c r="A71">
        <v>70</v>
      </c>
      <c r="B71" t="s">
        <v>4177</v>
      </c>
      <c r="C71" t="s">
        <v>756</v>
      </c>
      <c r="D71">
        <v>18</v>
      </c>
      <c r="E71">
        <v>70</v>
      </c>
      <c r="F71">
        <v>239</v>
      </c>
      <c r="G71">
        <v>10495731</v>
      </c>
      <c r="H71" s="3">
        <v>44825</v>
      </c>
    </row>
    <row r="72" spans="1:8" x14ac:dyDescent="0.25">
      <c r="A72">
        <v>71</v>
      </c>
      <c r="B72" t="s">
        <v>4178</v>
      </c>
      <c r="C72" t="s">
        <v>705</v>
      </c>
      <c r="D72">
        <v>24</v>
      </c>
      <c r="E72">
        <v>72</v>
      </c>
      <c r="F72">
        <v>68</v>
      </c>
      <c r="G72">
        <v>10291901</v>
      </c>
      <c r="H72" s="3">
        <v>45679</v>
      </c>
    </row>
    <row r="73" spans="1:8" x14ac:dyDescent="0.25">
      <c r="A73">
        <v>72</v>
      </c>
      <c r="B73" t="s">
        <v>4180</v>
      </c>
      <c r="C73" t="s">
        <v>659</v>
      </c>
      <c r="D73">
        <v>8</v>
      </c>
      <c r="E73">
        <v>74</v>
      </c>
      <c r="F73">
        <v>281</v>
      </c>
      <c r="G73">
        <v>10189411</v>
      </c>
      <c r="H73" s="3">
        <v>45588</v>
      </c>
    </row>
    <row r="74" spans="1:8" x14ac:dyDescent="0.25">
      <c r="A74">
        <v>73</v>
      </c>
      <c r="B74" t="s">
        <v>4183</v>
      </c>
      <c r="C74" t="s">
        <v>657</v>
      </c>
      <c r="D74">
        <v>34</v>
      </c>
      <c r="E74">
        <v>75</v>
      </c>
      <c r="F74">
        <v>78</v>
      </c>
      <c r="G74">
        <v>10021679</v>
      </c>
      <c r="H74" s="3">
        <v>45728</v>
      </c>
    </row>
    <row r="75" spans="1:8" x14ac:dyDescent="0.25">
      <c r="A75">
        <v>74</v>
      </c>
      <c r="B75" t="s">
        <v>4179</v>
      </c>
      <c r="C75" t="s">
        <v>609</v>
      </c>
      <c r="D75">
        <v>11</v>
      </c>
      <c r="E75">
        <v>76</v>
      </c>
      <c r="F75">
        <v>179</v>
      </c>
      <c r="G75">
        <v>9958895</v>
      </c>
      <c r="H75" s="3">
        <v>44958</v>
      </c>
    </row>
    <row r="76" spans="1:8" x14ac:dyDescent="0.25">
      <c r="A76">
        <v>75</v>
      </c>
      <c r="B76" t="s">
        <v>4199</v>
      </c>
      <c r="C76" t="s">
        <v>3406</v>
      </c>
      <c r="D76">
        <v>31</v>
      </c>
      <c r="E76">
        <v>90</v>
      </c>
      <c r="F76">
        <v>325</v>
      </c>
      <c r="G76">
        <v>9955393</v>
      </c>
      <c r="H76" s="3">
        <v>43957</v>
      </c>
    </row>
    <row r="77" spans="1:8" x14ac:dyDescent="0.25">
      <c r="A77">
        <v>76</v>
      </c>
      <c r="B77" t="s">
        <v>4191</v>
      </c>
      <c r="C77" t="s">
        <v>1583</v>
      </c>
      <c r="D77">
        <v>76</v>
      </c>
      <c r="E77">
        <v>81</v>
      </c>
      <c r="F77">
        <v>10</v>
      </c>
      <c r="G77">
        <v>9925337</v>
      </c>
      <c r="H77" s="3">
        <v>45903</v>
      </c>
    </row>
    <row r="78" spans="1:8" x14ac:dyDescent="0.25">
      <c r="A78">
        <v>77</v>
      </c>
      <c r="B78" t="s">
        <v>4169</v>
      </c>
      <c r="C78" t="s">
        <v>1090</v>
      </c>
      <c r="D78">
        <v>18</v>
      </c>
      <c r="E78">
        <v>73</v>
      </c>
      <c r="F78">
        <v>23</v>
      </c>
      <c r="G78">
        <v>9712944</v>
      </c>
      <c r="H78" s="3">
        <v>45805</v>
      </c>
    </row>
    <row r="79" spans="1:8" x14ac:dyDescent="0.25">
      <c r="A79">
        <v>78</v>
      </c>
      <c r="B79" t="s">
        <v>4182</v>
      </c>
      <c r="C79" t="s">
        <v>727</v>
      </c>
      <c r="D79">
        <v>2</v>
      </c>
      <c r="E79">
        <v>78</v>
      </c>
      <c r="F79">
        <v>446</v>
      </c>
      <c r="G79">
        <v>9680588</v>
      </c>
      <c r="H79" s="3">
        <v>44356</v>
      </c>
    </row>
    <row r="80" spans="1:8" x14ac:dyDescent="0.25">
      <c r="A80">
        <v>79</v>
      </c>
      <c r="B80" t="s">
        <v>4174</v>
      </c>
      <c r="C80" t="s">
        <v>415</v>
      </c>
      <c r="D80">
        <v>16</v>
      </c>
      <c r="E80">
        <v>77</v>
      </c>
      <c r="F80">
        <v>244</v>
      </c>
      <c r="G80">
        <v>9559116</v>
      </c>
      <c r="H80" s="3">
        <v>45406</v>
      </c>
    </row>
    <row r="81" spans="1:8" x14ac:dyDescent="0.25">
      <c r="A81">
        <v>80</v>
      </c>
      <c r="B81" t="s">
        <v>4185</v>
      </c>
      <c r="C81" t="s">
        <v>639</v>
      </c>
      <c r="D81">
        <v>18</v>
      </c>
      <c r="E81">
        <v>79</v>
      </c>
      <c r="F81">
        <v>190</v>
      </c>
      <c r="G81">
        <v>9515703</v>
      </c>
      <c r="H81" s="3">
        <v>45056</v>
      </c>
    </row>
    <row r="82" spans="1:8" x14ac:dyDescent="0.25">
      <c r="A82">
        <v>81</v>
      </c>
      <c r="B82" t="s">
        <v>4175</v>
      </c>
      <c r="C82" t="s">
        <v>799</v>
      </c>
      <c r="D82">
        <v>6</v>
      </c>
      <c r="E82">
        <v>71</v>
      </c>
      <c r="F82">
        <v>57</v>
      </c>
      <c r="G82">
        <v>9435916</v>
      </c>
      <c r="H82" s="3">
        <v>45553</v>
      </c>
    </row>
    <row r="83" spans="1:8" x14ac:dyDescent="0.25">
      <c r="A83">
        <v>82</v>
      </c>
      <c r="B83" t="s">
        <v>4192</v>
      </c>
      <c r="C83" t="s">
        <v>829</v>
      </c>
      <c r="D83">
        <v>12</v>
      </c>
      <c r="E83">
        <v>86</v>
      </c>
      <c r="F83">
        <v>262</v>
      </c>
      <c r="G83">
        <v>9220680</v>
      </c>
      <c r="H83" s="3">
        <v>44405</v>
      </c>
    </row>
    <row r="84" spans="1:8" x14ac:dyDescent="0.25">
      <c r="A84">
        <v>83</v>
      </c>
      <c r="B84" t="s">
        <v>4184</v>
      </c>
      <c r="C84" t="s">
        <v>784</v>
      </c>
      <c r="D84">
        <v>8</v>
      </c>
      <c r="E84">
        <v>80</v>
      </c>
      <c r="F84">
        <v>246</v>
      </c>
      <c r="G84">
        <v>9219228</v>
      </c>
      <c r="H84" s="3">
        <v>44370</v>
      </c>
    </row>
    <row r="85" spans="1:8" x14ac:dyDescent="0.25">
      <c r="A85">
        <v>84</v>
      </c>
      <c r="B85" t="s">
        <v>4186</v>
      </c>
      <c r="C85" t="s">
        <v>332</v>
      </c>
      <c r="D85">
        <v>4</v>
      </c>
      <c r="E85">
        <v>84</v>
      </c>
      <c r="F85">
        <v>222</v>
      </c>
      <c r="G85">
        <v>9185956</v>
      </c>
      <c r="H85" s="3">
        <v>44804</v>
      </c>
    </row>
    <row r="86" spans="1:8" x14ac:dyDescent="0.25">
      <c r="A86">
        <v>85</v>
      </c>
      <c r="B86" t="s">
        <v>5073</v>
      </c>
      <c r="C86" t="s">
        <v>5074</v>
      </c>
      <c r="D86">
        <v>85</v>
      </c>
      <c r="E86" t="s">
        <v>2780</v>
      </c>
      <c r="F86">
        <v>324</v>
      </c>
      <c r="G86">
        <v>9047957</v>
      </c>
      <c r="H86" s="3">
        <v>45903</v>
      </c>
    </row>
    <row r="87" spans="1:8" x14ac:dyDescent="0.25">
      <c r="A87">
        <v>86</v>
      </c>
      <c r="B87" t="s">
        <v>4188</v>
      </c>
      <c r="C87" t="s">
        <v>786</v>
      </c>
      <c r="D87">
        <v>9</v>
      </c>
      <c r="E87">
        <v>89</v>
      </c>
      <c r="F87">
        <v>241</v>
      </c>
      <c r="G87">
        <v>9018529</v>
      </c>
      <c r="H87" s="3">
        <v>45112</v>
      </c>
    </row>
    <row r="88" spans="1:8" x14ac:dyDescent="0.25">
      <c r="A88">
        <v>87</v>
      </c>
      <c r="B88" t="s">
        <v>4200</v>
      </c>
      <c r="C88" t="s">
        <v>680</v>
      </c>
      <c r="D88">
        <v>7</v>
      </c>
      <c r="E88">
        <v>93</v>
      </c>
      <c r="F88">
        <v>283</v>
      </c>
      <c r="G88">
        <v>8970676</v>
      </c>
      <c r="H88" s="3">
        <v>44832</v>
      </c>
    </row>
    <row r="89" spans="1:8" x14ac:dyDescent="0.25">
      <c r="A89">
        <v>88</v>
      </c>
      <c r="B89" t="s">
        <v>4187</v>
      </c>
      <c r="C89" t="s">
        <v>648</v>
      </c>
      <c r="D89">
        <v>22</v>
      </c>
      <c r="E89">
        <v>85</v>
      </c>
      <c r="F89">
        <v>155</v>
      </c>
      <c r="G89">
        <v>8954280</v>
      </c>
      <c r="H89" s="3">
        <v>45126</v>
      </c>
    </row>
    <row r="90" spans="1:8" x14ac:dyDescent="0.25">
      <c r="A90">
        <v>89</v>
      </c>
      <c r="B90" t="s">
        <v>4193</v>
      </c>
      <c r="C90" t="s">
        <v>277</v>
      </c>
      <c r="D90">
        <v>79</v>
      </c>
      <c r="E90">
        <v>83</v>
      </c>
      <c r="F90">
        <v>421</v>
      </c>
      <c r="G90">
        <v>8921100</v>
      </c>
      <c r="H90" s="3">
        <v>43250</v>
      </c>
    </row>
    <row r="91" spans="1:8" x14ac:dyDescent="0.25">
      <c r="A91">
        <v>90</v>
      </c>
      <c r="B91" t="s">
        <v>4194</v>
      </c>
      <c r="C91" t="s">
        <v>3800</v>
      </c>
      <c r="D91">
        <v>37</v>
      </c>
      <c r="E91">
        <v>88</v>
      </c>
      <c r="F91">
        <v>398</v>
      </c>
      <c r="G91">
        <v>8893818</v>
      </c>
      <c r="H91" s="3">
        <v>43943</v>
      </c>
    </row>
    <row r="92" spans="1:8" x14ac:dyDescent="0.25">
      <c r="A92">
        <v>91</v>
      </c>
      <c r="B92" t="s">
        <v>4189</v>
      </c>
      <c r="C92" t="s">
        <v>763</v>
      </c>
      <c r="D92">
        <v>19</v>
      </c>
      <c r="E92">
        <v>87</v>
      </c>
      <c r="F92">
        <v>466</v>
      </c>
      <c r="G92">
        <v>8796582</v>
      </c>
      <c r="H92" s="3">
        <v>45028</v>
      </c>
    </row>
    <row r="93" spans="1:8" x14ac:dyDescent="0.25">
      <c r="A93">
        <v>92</v>
      </c>
      <c r="B93" t="s">
        <v>4195</v>
      </c>
      <c r="C93" t="s">
        <v>545</v>
      </c>
      <c r="D93">
        <v>13</v>
      </c>
      <c r="E93">
        <v>82</v>
      </c>
      <c r="F93">
        <v>146</v>
      </c>
      <c r="G93">
        <v>8753626</v>
      </c>
      <c r="H93" s="3">
        <v>45098</v>
      </c>
    </row>
    <row r="94" spans="1:8" x14ac:dyDescent="0.25">
      <c r="A94">
        <v>93</v>
      </c>
      <c r="B94" t="s">
        <v>4321</v>
      </c>
      <c r="C94" t="s">
        <v>159</v>
      </c>
      <c r="D94">
        <v>24</v>
      </c>
      <c r="E94">
        <v>94</v>
      </c>
      <c r="F94">
        <v>47</v>
      </c>
      <c r="G94">
        <v>8692380</v>
      </c>
      <c r="H94" s="3">
        <v>45665</v>
      </c>
    </row>
    <row r="95" spans="1:8" x14ac:dyDescent="0.25">
      <c r="A95">
        <v>94</v>
      </c>
      <c r="B95" t="s">
        <v>4190</v>
      </c>
      <c r="C95" t="s">
        <v>3241</v>
      </c>
      <c r="D95">
        <v>31</v>
      </c>
      <c r="E95">
        <v>91</v>
      </c>
      <c r="F95">
        <v>239</v>
      </c>
      <c r="G95">
        <v>8683643</v>
      </c>
      <c r="H95" s="3">
        <v>45343</v>
      </c>
    </row>
    <row r="96" spans="1:8" x14ac:dyDescent="0.25">
      <c r="A96">
        <v>95</v>
      </c>
      <c r="B96" t="s">
        <v>5075</v>
      </c>
      <c r="C96" t="s">
        <v>729</v>
      </c>
      <c r="D96">
        <v>95</v>
      </c>
      <c r="E96" t="s">
        <v>2780</v>
      </c>
      <c r="F96">
        <v>14</v>
      </c>
      <c r="G96">
        <v>8608714</v>
      </c>
      <c r="H96" s="3">
        <v>45903</v>
      </c>
    </row>
    <row r="97" spans="1:8" x14ac:dyDescent="0.25">
      <c r="A97">
        <v>96</v>
      </c>
      <c r="B97" t="s">
        <v>4198</v>
      </c>
      <c r="C97" t="s">
        <v>557</v>
      </c>
      <c r="D97">
        <v>92</v>
      </c>
      <c r="E97">
        <v>92</v>
      </c>
      <c r="F97">
        <v>28</v>
      </c>
      <c r="G97">
        <v>8553210</v>
      </c>
      <c r="H97" s="3">
        <v>45896</v>
      </c>
    </row>
    <row r="98" spans="1:8" x14ac:dyDescent="0.25">
      <c r="A98">
        <v>97</v>
      </c>
      <c r="B98" t="s">
        <v>4196</v>
      </c>
      <c r="C98" t="s">
        <v>712</v>
      </c>
      <c r="D98">
        <v>5</v>
      </c>
      <c r="E98">
        <v>96</v>
      </c>
      <c r="F98">
        <v>468</v>
      </c>
      <c r="G98">
        <v>8436489</v>
      </c>
      <c r="H98" s="3">
        <v>43453</v>
      </c>
    </row>
    <row r="99" spans="1:8" x14ac:dyDescent="0.25">
      <c r="A99">
        <v>98</v>
      </c>
      <c r="B99" t="s">
        <v>4322</v>
      </c>
      <c r="C99" t="s">
        <v>839</v>
      </c>
      <c r="D99">
        <v>16</v>
      </c>
      <c r="E99">
        <v>95</v>
      </c>
      <c r="F99">
        <v>287</v>
      </c>
      <c r="G99">
        <v>8423449</v>
      </c>
      <c r="H99" s="3">
        <v>45371</v>
      </c>
    </row>
    <row r="100" spans="1:8" x14ac:dyDescent="0.25">
      <c r="A100">
        <v>99</v>
      </c>
      <c r="B100" t="s">
        <v>4197</v>
      </c>
      <c r="C100" t="s">
        <v>582</v>
      </c>
      <c r="D100">
        <v>31</v>
      </c>
      <c r="E100">
        <v>99</v>
      </c>
      <c r="F100">
        <v>252</v>
      </c>
      <c r="G100">
        <v>8214841</v>
      </c>
      <c r="H100" s="3">
        <v>44167</v>
      </c>
    </row>
    <row r="101" spans="1:8" x14ac:dyDescent="0.25">
      <c r="A101">
        <v>100</v>
      </c>
      <c r="B101" t="s">
        <v>4202</v>
      </c>
      <c r="C101" t="s">
        <v>4201</v>
      </c>
      <c r="D101">
        <v>43</v>
      </c>
      <c r="E101">
        <v>98</v>
      </c>
      <c r="F101">
        <v>349</v>
      </c>
      <c r="G101">
        <v>8170204</v>
      </c>
      <c r="H101" s="3">
        <v>43929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B7355-116C-4751-908D-999DA03D7BA8}">
  <sheetPr codeName="Planilha24"/>
  <dimension ref="A1:I101"/>
  <sheetViews>
    <sheetView topLeftCell="D1" zoomScale="90" zoomScaleNormal="90" workbookViewId="0">
      <selection activeCell="D7" sqref="D7"/>
    </sheetView>
  </sheetViews>
  <sheetFormatPr defaultRowHeight="15" x14ac:dyDescent="0.25"/>
  <cols>
    <col min="1" max="1" width="14.42578125" bestFit="1" customWidth="1"/>
    <col min="2" max="2" width="43.28515625" bestFit="1" customWidth="1"/>
    <col min="3" max="4" width="81.140625" bestFit="1" customWidth="1"/>
    <col min="5" max="5" width="17" bestFit="1" customWidth="1"/>
    <col min="6" max="6" width="11.85546875" bestFit="1" customWidth="1"/>
    <col min="7" max="7" width="15.140625" bestFit="1" customWidth="1"/>
    <col min="8" max="8" width="20.28515625" bestFit="1" customWidth="1"/>
    <col min="9" max="9" width="14.28515625" bestFit="1" customWidth="1"/>
    <col min="10" max="10" width="17" bestFit="1" customWidth="1"/>
    <col min="11" max="11" width="14.140625" bestFit="1" customWidth="1"/>
    <col min="12" max="12" width="21.85546875" bestFit="1" customWidth="1"/>
    <col min="13" max="13" width="20.28515625" bestFit="1" customWidth="1"/>
    <col min="14" max="14" width="15.140625" bestFit="1" customWidth="1"/>
  </cols>
  <sheetData>
    <row r="1" spans="1:9" x14ac:dyDescent="0.25">
      <c r="A1" t="s">
        <v>2877</v>
      </c>
      <c r="B1" t="s">
        <v>2878</v>
      </c>
      <c r="C1" t="s">
        <v>2879</v>
      </c>
      <c r="D1" t="s">
        <v>2880</v>
      </c>
      <c r="E1" t="s">
        <v>2882</v>
      </c>
      <c r="F1" t="s">
        <v>3943</v>
      </c>
      <c r="G1" t="s">
        <v>4203</v>
      </c>
      <c r="H1" t="s">
        <v>3944</v>
      </c>
      <c r="I1" t="s">
        <v>521</v>
      </c>
    </row>
    <row r="2" spans="1:9" x14ac:dyDescent="0.25">
      <c r="A2">
        <v>1</v>
      </c>
      <c r="B2" t="s">
        <v>3946</v>
      </c>
      <c r="C2" t="s">
        <v>10</v>
      </c>
      <c r="D2" t="s">
        <v>2740</v>
      </c>
      <c r="E2">
        <v>1</v>
      </c>
      <c r="F2" t="s">
        <v>3945</v>
      </c>
      <c r="G2" t="s">
        <v>5076</v>
      </c>
      <c r="H2">
        <v>18</v>
      </c>
      <c r="I2" s="3">
        <v>45812</v>
      </c>
    </row>
    <row r="3" spans="1:9" x14ac:dyDescent="0.25">
      <c r="A3">
        <v>2</v>
      </c>
      <c r="B3" t="s">
        <v>3947</v>
      </c>
      <c r="C3" t="s">
        <v>22</v>
      </c>
      <c r="D3" t="s">
        <v>2743</v>
      </c>
      <c r="E3">
        <v>2</v>
      </c>
      <c r="F3" t="s">
        <v>3945</v>
      </c>
      <c r="G3" t="s">
        <v>5077</v>
      </c>
      <c r="H3">
        <v>26</v>
      </c>
      <c r="I3" s="3">
        <v>45791</v>
      </c>
    </row>
    <row r="4" spans="1:9" x14ac:dyDescent="0.25">
      <c r="A4">
        <v>3</v>
      </c>
      <c r="B4" t="s">
        <v>3949</v>
      </c>
      <c r="C4" t="s">
        <v>3948</v>
      </c>
      <c r="D4" t="s">
        <v>2746</v>
      </c>
      <c r="E4">
        <v>1</v>
      </c>
      <c r="F4" t="s">
        <v>3945</v>
      </c>
      <c r="G4" t="s">
        <v>4324</v>
      </c>
      <c r="H4">
        <v>35</v>
      </c>
      <c r="I4" s="3">
        <v>45777</v>
      </c>
    </row>
    <row r="5" spans="1:9" x14ac:dyDescent="0.25">
      <c r="A5">
        <v>4</v>
      </c>
      <c r="B5" t="s">
        <v>4036</v>
      </c>
      <c r="C5" t="s">
        <v>402</v>
      </c>
      <c r="D5" t="s">
        <v>403</v>
      </c>
      <c r="E5">
        <v>4</v>
      </c>
      <c r="F5" t="s">
        <v>2838</v>
      </c>
      <c r="G5" t="s">
        <v>5078</v>
      </c>
      <c r="H5">
        <v>4</v>
      </c>
      <c r="I5" s="3">
        <v>45903</v>
      </c>
    </row>
    <row r="6" spans="1:9" x14ac:dyDescent="0.25">
      <c r="A6">
        <v>5</v>
      </c>
      <c r="B6" t="s">
        <v>4323</v>
      </c>
      <c r="C6" t="s">
        <v>765</v>
      </c>
      <c r="D6" t="s">
        <v>15</v>
      </c>
      <c r="E6">
        <v>5</v>
      </c>
      <c r="F6" t="s">
        <v>3945</v>
      </c>
      <c r="G6" t="s">
        <v>5079</v>
      </c>
      <c r="H6">
        <v>2</v>
      </c>
      <c r="I6" s="3">
        <v>45896</v>
      </c>
    </row>
    <row r="7" spans="1:9" x14ac:dyDescent="0.25">
      <c r="A7">
        <v>6</v>
      </c>
      <c r="B7" t="s">
        <v>3955</v>
      </c>
      <c r="C7" t="s">
        <v>3954</v>
      </c>
      <c r="D7" t="s">
        <v>3953</v>
      </c>
      <c r="E7">
        <v>2</v>
      </c>
      <c r="F7" t="s">
        <v>3945</v>
      </c>
      <c r="G7" t="s">
        <v>4326</v>
      </c>
      <c r="H7">
        <v>52</v>
      </c>
      <c r="I7" s="3">
        <v>45749</v>
      </c>
    </row>
    <row r="8" spans="1:9" x14ac:dyDescent="0.25">
      <c r="A8">
        <v>7</v>
      </c>
      <c r="B8" t="s">
        <v>3952</v>
      </c>
      <c r="C8" t="s">
        <v>1089</v>
      </c>
      <c r="D8" t="s">
        <v>137</v>
      </c>
      <c r="E8">
        <v>3</v>
      </c>
      <c r="F8" t="s">
        <v>3963</v>
      </c>
      <c r="G8" t="s">
        <v>4326</v>
      </c>
      <c r="H8">
        <v>7</v>
      </c>
      <c r="I8" s="3">
        <v>45875</v>
      </c>
    </row>
    <row r="9" spans="1:9" x14ac:dyDescent="0.25">
      <c r="A9">
        <v>8</v>
      </c>
      <c r="B9" t="s">
        <v>4325</v>
      </c>
      <c r="C9" t="s">
        <v>33</v>
      </c>
      <c r="D9" t="s">
        <v>2764</v>
      </c>
      <c r="E9">
        <v>7</v>
      </c>
      <c r="F9" t="s">
        <v>3956</v>
      </c>
      <c r="G9" t="s">
        <v>4326</v>
      </c>
      <c r="H9">
        <v>2</v>
      </c>
      <c r="I9" s="3">
        <v>45896</v>
      </c>
    </row>
    <row r="10" spans="1:9" x14ac:dyDescent="0.25">
      <c r="A10">
        <v>9</v>
      </c>
      <c r="B10" t="s">
        <v>3958</v>
      </c>
      <c r="C10" t="s">
        <v>2770</v>
      </c>
      <c r="D10" t="s">
        <v>286</v>
      </c>
      <c r="E10">
        <v>8</v>
      </c>
      <c r="F10" t="s">
        <v>3956</v>
      </c>
      <c r="G10" t="s">
        <v>5080</v>
      </c>
      <c r="H10">
        <v>7</v>
      </c>
      <c r="I10" s="3">
        <v>45889</v>
      </c>
    </row>
    <row r="11" spans="1:9" x14ac:dyDescent="0.25">
      <c r="A11">
        <v>10</v>
      </c>
      <c r="B11" t="s">
        <v>4327</v>
      </c>
      <c r="C11" t="s">
        <v>665</v>
      </c>
      <c r="D11" t="s">
        <v>3451</v>
      </c>
      <c r="E11">
        <v>10</v>
      </c>
      <c r="F11" t="s">
        <v>2747</v>
      </c>
      <c r="G11" t="s">
        <v>3959</v>
      </c>
      <c r="H11">
        <v>2</v>
      </c>
      <c r="I11" s="3">
        <v>45903</v>
      </c>
    </row>
    <row r="12" spans="1:9" x14ac:dyDescent="0.25">
      <c r="A12">
        <v>11</v>
      </c>
      <c r="B12" t="s">
        <v>3961</v>
      </c>
      <c r="C12" t="s">
        <v>69</v>
      </c>
      <c r="D12" t="s">
        <v>2758</v>
      </c>
      <c r="E12">
        <v>10</v>
      </c>
      <c r="F12" t="s">
        <v>3956</v>
      </c>
      <c r="G12" t="s">
        <v>3962</v>
      </c>
      <c r="H12">
        <v>21</v>
      </c>
      <c r="I12" s="3">
        <v>45798</v>
      </c>
    </row>
    <row r="13" spans="1:9" x14ac:dyDescent="0.25">
      <c r="A13">
        <v>12</v>
      </c>
      <c r="B13" t="s">
        <v>3964</v>
      </c>
      <c r="C13" t="s">
        <v>2925</v>
      </c>
      <c r="D13" t="s">
        <v>2755</v>
      </c>
      <c r="E13">
        <v>7</v>
      </c>
      <c r="F13" t="s">
        <v>3956</v>
      </c>
      <c r="G13" t="s">
        <v>5081</v>
      </c>
      <c r="H13">
        <v>9</v>
      </c>
      <c r="I13" s="3">
        <v>45861</v>
      </c>
    </row>
    <row r="14" spans="1:9" x14ac:dyDescent="0.25">
      <c r="A14">
        <v>13</v>
      </c>
      <c r="B14" t="s">
        <v>3972</v>
      </c>
      <c r="C14" t="s">
        <v>43</v>
      </c>
      <c r="D14" t="s">
        <v>3971</v>
      </c>
      <c r="E14">
        <v>12</v>
      </c>
      <c r="F14" t="s">
        <v>2838</v>
      </c>
      <c r="G14" t="s">
        <v>3966</v>
      </c>
      <c r="H14">
        <v>21</v>
      </c>
      <c r="I14" s="3">
        <v>45868</v>
      </c>
    </row>
    <row r="15" spans="1:9" x14ac:dyDescent="0.25">
      <c r="A15">
        <v>14</v>
      </c>
      <c r="B15" t="s">
        <v>3960</v>
      </c>
      <c r="C15" t="s">
        <v>43</v>
      </c>
      <c r="D15" t="s">
        <v>2761</v>
      </c>
      <c r="E15">
        <v>7</v>
      </c>
      <c r="F15" t="s">
        <v>3951</v>
      </c>
      <c r="G15" t="s">
        <v>3966</v>
      </c>
      <c r="H15">
        <v>48</v>
      </c>
      <c r="I15" s="3">
        <v>45777</v>
      </c>
    </row>
    <row r="16" spans="1:9" x14ac:dyDescent="0.25">
      <c r="A16">
        <v>15</v>
      </c>
      <c r="B16" t="s">
        <v>3973</v>
      </c>
      <c r="C16" t="s">
        <v>273</v>
      </c>
      <c r="D16" t="s">
        <v>274</v>
      </c>
      <c r="E16">
        <v>15</v>
      </c>
      <c r="F16" t="s">
        <v>2750</v>
      </c>
      <c r="G16" t="s">
        <v>3966</v>
      </c>
      <c r="H16">
        <v>9</v>
      </c>
      <c r="I16" s="3">
        <v>45903</v>
      </c>
    </row>
    <row r="17" spans="1:9" x14ac:dyDescent="0.25">
      <c r="A17">
        <v>16</v>
      </c>
      <c r="B17" t="s">
        <v>3957</v>
      </c>
      <c r="C17" t="s">
        <v>527</v>
      </c>
      <c r="D17" t="s">
        <v>19</v>
      </c>
      <c r="E17">
        <v>5</v>
      </c>
      <c r="F17" t="s">
        <v>4006</v>
      </c>
      <c r="G17" t="s">
        <v>5082</v>
      </c>
      <c r="H17">
        <v>10</v>
      </c>
      <c r="I17" s="3">
        <v>45868</v>
      </c>
    </row>
    <row r="18" spans="1:9" x14ac:dyDescent="0.25">
      <c r="A18">
        <v>17</v>
      </c>
      <c r="B18" t="s">
        <v>5083</v>
      </c>
      <c r="C18" t="s">
        <v>96</v>
      </c>
      <c r="D18" t="s">
        <v>3965</v>
      </c>
      <c r="E18">
        <v>17</v>
      </c>
      <c r="F18" t="s">
        <v>2812</v>
      </c>
      <c r="G18" t="s">
        <v>5082</v>
      </c>
      <c r="H18">
        <v>7</v>
      </c>
      <c r="I18" s="3">
        <v>45903</v>
      </c>
    </row>
    <row r="19" spans="1:9" x14ac:dyDescent="0.25">
      <c r="A19">
        <v>18</v>
      </c>
      <c r="B19" t="s">
        <v>4330</v>
      </c>
      <c r="C19" t="s">
        <v>729</v>
      </c>
      <c r="D19" t="s">
        <v>141</v>
      </c>
      <c r="E19">
        <v>18</v>
      </c>
      <c r="F19" t="s">
        <v>2759</v>
      </c>
      <c r="G19" t="s">
        <v>4328</v>
      </c>
      <c r="H19">
        <v>2</v>
      </c>
      <c r="I19" s="3">
        <v>45903</v>
      </c>
    </row>
    <row r="20" spans="1:9" x14ac:dyDescent="0.25">
      <c r="A20">
        <v>19</v>
      </c>
      <c r="B20" t="s">
        <v>3975</v>
      </c>
      <c r="C20" t="s">
        <v>978</v>
      </c>
      <c r="D20" t="s">
        <v>979</v>
      </c>
      <c r="E20">
        <v>17</v>
      </c>
      <c r="F20" t="s">
        <v>3956</v>
      </c>
      <c r="G20" t="s">
        <v>3970</v>
      </c>
      <c r="H20">
        <v>4</v>
      </c>
      <c r="I20" s="3">
        <v>45889</v>
      </c>
    </row>
    <row r="21" spans="1:9" x14ac:dyDescent="0.25">
      <c r="A21">
        <v>20</v>
      </c>
      <c r="B21" t="s">
        <v>3969</v>
      </c>
      <c r="C21" t="s">
        <v>164</v>
      </c>
      <c r="D21" t="s">
        <v>3968</v>
      </c>
      <c r="E21">
        <v>14</v>
      </c>
      <c r="F21" t="s">
        <v>3980</v>
      </c>
      <c r="G21" t="s">
        <v>3974</v>
      </c>
      <c r="H21">
        <v>16</v>
      </c>
      <c r="I21" s="3">
        <v>45875</v>
      </c>
    </row>
    <row r="22" spans="1:9" x14ac:dyDescent="0.25">
      <c r="A22">
        <v>21</v>
      </c>
      <c r="B22" t="s">
        <v>3967</v>
      </c>
      <c r="C22" t="s">
        <v>2804</v>
      </c>
      <c r="D22" t="s">
        <v>2805</v>
      </c>
      <c r="E22">
        <v>11</v>
      </c>
      <c r="F22" t="s">
        <v>3980</v>
      </c>
      <c r="G22" t="s">
        <v>3974</v>
      </c>
      <c r="H22">
        <v>31</v>
      </c>
      <c r="I22" s="3">
        <v>45875</v>
      </c>
    </row>
    <row r="23" spans="1:9" x14ac:dyDescent="0.25">
      <c r="A23">
        <v>22</v>
      </c>
      <c r="B23" t="s">
        <v>3976</v>
      </c>
      <c r="C23" t="s">
        <v>43</v>
      </c>
      <c r="D23" t="s">
        <v>2773</v>
      </c>
      <c r="E23">
        <v>12</v>
      </c>
      <c r="F23" t="s">
        <v>3951</v>
      </c>
      <c r="G23" t="s">
        <v>5084</v>
      </c>
      <c r="H23">
        <v>45</v>
      </c>
      <c r="I23" s="3">
        <v>45875</v>
      </c>
    </row>
    <row r="24" spans="1:9" x14ac:dyDescent="0.25">
      <c r="A24">
        <v>23</v>
      </c>
      <c r="B24" t="s">
        <v>3982</v>
      </c>
      <c r="C24" t="s">
        <v>33</v>
      </c>
      <c r="D24" t="s">
        <v>2767</v>
      </c>
      <c r="E24">
        <v>19</v>
      </c>
      <c r="F24" t="s">
        <v>3951</v>
      </c>
      <c r="G24" t="s">
        <v>3977</v>
      </c>
      <c r="H24">
        <v>39</v>
      </c>
      <c r="I24" s="3">
        <v>45882</v>
      </c>
    </row>
    <row r="25" spans="1:9" x14ac:dyDescent="0.25">
      <c r="A25">
        <v>24</v>
      </c>
      <c r="B25" t="s">
        <v>3978</v>
      </c>
      <c r="C25" t="s">
        <v>3383</v>
      </c>
      <c r="D25" t="s">
        <v>3382</v>
      </c>
      <c r="E25">
        <v>16</v>
      </c>
      <c r="F25" t="s">
        <v>3945</v>
      </c>
      <c r="G25" t="s">
        <v>3979</v>
      </c>
      <c r="H25">
        <v>35</v>
      </c>
      <c r="I25" s="3">
        <v>45875</v>
      </c>
    </row>
    <row r="26" spans="1:9" x14ac:dyDescent="0.25">
      <c r="A26">
        <v>25</v>
      </c>
      <c r="B26" t="s">
        <v>3985</v>
      </c>
      <c r="C26" t="s">
        <v>4329</v>
      </c>
      <c r="D26" t="s">
        <v>3984</v>
      </c>
      <c r="E26">
        <v>22</v>
      </c>
      <c r="F26" t="s">
        <v>3963</v>
      </c>
      <c r="G26" t="s">
        <v>3979</v>
      </c>
      <c r="H26">
        <v>3</v>
      </c>
      <c r="I26" s="3">
        <v>45896</v>
      </c>
    </row>
    <row r="27" spans="1:9" x14ac:dyDescent="0.25">
      <c r="A27">
        <v>26</v>
      </c>
      <c r="B27" t="s">
        <v>3981</v>
      </c>
      <c r="C27" t="s">
        <v>1090</v>
      </c>
      <c r="D27" t="s">
        <v>2789</v>
      </c>
      <c r="E27">
        <v>6</v>
      </c>
      <c r="F27" t="s">
        <v>3956</v>
      </c>
      <c r="G27" t="s">
        <v>5085</v>
      </c>
      <c r="H27">
        <v>20</v>
      </c>
      <c r="I27" s="3">
        <v>45840</v>
      </c>
    </row>
    <row r="28" spans="1:9" x14ac:dyDescent="0.25">
      <c r="A28">
        <v>27</v>
      </c>
      <c r="B28" t="s">
        <v>3993</v>
      </c>
      <c r="C28" t="s">
        <v>26</v>
      </c>
      <c r="D28" t="s">
        <v>27</v>
      </c>
      <c r="E28">
        <v>23</v>
      </c>
      <c r="F28" t="s">
        <v>3956</v>
      </c>
      <c r="G28" t="s">
        <v>3994</v>
      </c>
      <c r="H28">
        <v>14</v>
      </c>
      <c r="I28" s="3">
        <v>45847</v>
      </c>
    </row>
    <row r="29" spans="1:9" x14ac:dyDescent="0.25">
      <c r="A29">
        <v>28</v>
      </c>
      <c r="B29" t="s">
        <v>3992</v>
      </c>
      <c r="C29" t="s">
        <v>3991</v>
      </c>
      <c r="D29" t="s">
        <v>3990</v>
      </c>
      <c r="E29">
        <v>13</v>
      </c>
      <c r="F29" t="s">
        <v>3945</v>
      </c>
      <c r="G29" t="s">
        <v>3999</v>
      </c>
      <c r="H29">
        <v>12</v>
      </c>
      <c r="I29" s="3">
        <v>45861</v>
      </c>
    </row>
    <row r="30" spans="1:9" x14ac:dyDescent="0.25">
      <c r="A30">
        <v>29</v>
      </c>
      <c r="B30" t="s">
        <v>4002</v>
      </c>
      <c r="C30" t="s">
        <v>384</v>
      </c>
      <c r="D30" t="s">
        <v>385</v>
      </c>
      <c r="E30">
        <v>17</v>
      </c>
      <c r="F30" t="s">
        <v>2750</v>
      </c>
      <c r="G30" t="s">
        <v>4005</v>
      </c>
      <c r="H30">
        <v>42</v>
      </c>
      <c r="I30" s="3">
        <v>45686</v>
      </c>
    </row>
    <row r="31" spans="1:9" x14ac:dyDescent="0.25">
      <c r="A31">
        <v>30</v>
      </c>
      <c r="B31" t="s">
        <v>3998</v>
      </c>
      <c r="C31" t="s">
        <v>561</v>
      </c>
      <c r="D31" t="s">
        <v>3997</v>
      </c>
      <c r="E31">
        <v>15</v>
      </c>
      <c r="F31" t="s">
        <v>3945</v>
      </c>
      <c r="G31" t="s">
        <v>4005</v>
      </c>
      <c r="H31">
        <v>51</v>
      </c>
      <c r="I31" s="3">
        <v>45595</v>
      </c>
    </row>
    <row r="32" spans="1:9" x14ac:dyDescent="0.25">
      <c r="A32">
        <v>31</v>
      </c>
      <c r="B32" t="s">
        <v>4335</v>
      </c>
      <c r="C32" t="s">
        <v>561</v>
      </c>
      <c r="D32" t="s">
        <v>3728</v>
      </c>
      <c r="E32">
        <v>31</v>
      </c>
      <c r="F32" t="s">
        <v>4034</v>
      </c>
      <c r="G32" t="s">
        <v>4005</v>
      </c>
      <c r="H32">
        <v>2</v>
      </c>
      <c r="I32" s="3">
        <v>45903</v>
      </c>
    </row>
    <row r="33" spans="1:9" x14ac:dyDescent="0.25">
      <c r="A33">
        <v>32</v>
      </c>
      <c r="B33" t="s">
        <v>3988</v>
      </c>
      <c r="C33" t="s">
        <v>3987</v>
      </c>
      <c r="D33" t="s">
        <v>3986</v>
      </c>
      <c r="E33">
        <v>4</v>
      </c>
      <c r="F33" t="s">
        <v>3956</v>
      </c>
      <c r="G33" t="s">
        <v>4011</v>
      </c>
      <c r="H33">
        <v>18</v>
      </c>
      <c r="I33" s="3">
        <v>45805</v>
      </c>
    </row>
    <row r="34" spans="1:9" x14ac:dyDescent="0.25">
      <c r="A34">
        <v>33</v>
      </c>
      <c r="B34" t="s">
        <v>3995</v>
      </c>
      <c r="C34" t="s">
        <v>714</v>
      </c>
      <c r="D34" t="s">
        <v>2823</v>
      </c>
      <c r="E34">
        <v>28</v>
      </c>
      <c r="F34" t="s">
        <v>3956</v>
      </c>
      <c r="G34" t="s">
        <v>4011</v>
      </c>
      <c r="H34">
        <v>14</v>
      </c>
      <c r="I34" s="3">
        <v>45882</v>
      </c>
    </row>
    <row r="35" spans="1:9" x14ac:dyDescent="0.25">
      <c r="A35">
        <v>34</v>
      </c>
      <c r="B35" t="s">
        <v>4035</v>
      </c>
      <c r="C35" t="s">
        <v>748</v>
      </c>
      <c r="D35" t="s">
        <v>3711</v>
      </c>
      <c r="E35">
        <v>34</v>
      </c>
      <c r="F35" t="s">
        <v>2741</v>
      </c>
      <c r="G35" t="s">
        <v>4011</v>
      </c>
      <c r="H35">
        <v>4</v>
      </c>
      <c r="I35" s="3">
        <v>45903</v>
      </c>
    </row>
    <row r="36" spans="1:9" x14ac:dyDescent="0.25">
      <c r="A36">
        <v>35</v>
      </c>
      <c r="B36" t="s">
        <v>4039</v>
      </c>
      <c r="C36" t="s">
        <v>43</v>
      </c>
      <c r="D36" t="s">
        <v>4038</v>
      </c>
      <c r="E36">
        <v>35</v>
      </c>
      <c r="F36" t="s">
        <v>2762</v>
      </c>
      <c r="G36" t="s">
        <v>4011</v>
      </c>
      <c r="H36">
        <v>5</v>
      </c>
      <c r="I36" s="3">
        <v>45903</v>
      </c>
    </row>
    <row r="37" spans="1:9" x14ac:dyDescent="0.25">
      <c r="A37">
        <v>36</v>
      </c>
      <c r="B37" t="s">
        <v>4017</v>
      </c>
      <c r="C37" t="s">
        <v>4016</v>
      </c>
      <c r="D37" t="s">
        <v>4015</v>
      </c>
      <c r="E37">
        <v>3</v>
      </c>
      <c r="F37" t="s">
        <v>2750</v>
      </c>
      <c r="G37" t="s">
        <v>4012</v>
      </c>
      <c r="H37">
        <v>14</v>
      </c>
      <c r="I37" s="3">
        <v>45812</v>
      </c>
    </row>
    <row r="38" spans="1:9" x14ac:dyDescent="0.25">
      <c r="A38">
        <v>37</v>
      </c>
      <c r="B38" t="s">
        <v>3989</v>
      </c>
      <c r="C38" t="s">
        <v>191</v>
      </c>
      <c r="D38" t="s">
        <v>3130</v>
      </c>
      <c r="E38">
        <v>1</v>
      </c>
      <c r="F38" t="s">
        <v>3996</v>
      </c>
      <c r="G38" t="s">
        <v>4012</v>
      </c>
      <c r="H38">
        <v>27</v>
      </c>
      <c r="I38" s="3">
        <v>45735</v>
      </c>
    </row>
    <row r="39" spans="1:9" x14ac:dyDescent="0.25">
      <c r="A39">
        <v>38</v>
      </c>
      <c r="B39" t="s">
        <v>5086</v>
      </c>
      <c r="C39" t="s">
        <v>496</v>
      </c>
      <c r="D39" t="s">
        <v>4226</v>
      </c>
      <c r="E39">
        <v>38</v>
      </c>
      <c r="F39" t="s">
        <v>3950</v>
      </c>
      <c r="G39" t="s">
        <v>4012</v>
      </c>
      <c r="H39">
        <v>1</v>
      </c>
      <c r="I39" s="3">
        <v>45903</v>
      </c>
    </row>
    <row r="40" spans="1:9" x14ac:dyDescent="0.25">
      <c r="A40">
        <v>39</v>
      </c>
      <c r="B40" t="s">
        <v>3983</v>
      </c>
      <c r="C40" t="s">
        <v>270</v>
      </c>
      <c r="D40" t="s">
        <v>271</v>
      </c>
      <c r="E40">
        <v>22</v>
      </c>
      <c r="F40" t="s">
        <v>4025</v>
      </c>
      <c r="G40" t="s">
        <v>4020</v>
      </c>
      <c r="H40">
        <v>6</v>
      </c>
      <c r="I40" s="3">
        <v>45889</v>
      </c>
    </row>
    <row r="41" spans="1:9" x14ac:dyDescent="0.25">
      <c r="A41">
        <v>40</v>
      </c>
      <c r="B41" t="s">
        <v>4033</v>
      </c>
      <c r="C41" t="s">
        <v>1535</v>
      </c>
      <c r="D41" t="s">
        <v>4032</v>
      </c>
      <c r="E41">
        <v>11</v>
      </c>
      <c r="F41" t="s">
        <v>2762</v>
      </c>
      <c r="G41" t="s">
        <v>4020</v>
      </c>
      <c r="H41">
        <v>23</v>
      </c>
      <c r="I41" s="3">
        <v>45784</v>
      </c>
    </row>
    <row r="42" spans="1:9" x14ac:dyDescent="0.25">
      <c r="A42">
        <v>41</v>
      </c>
      <c r="B42" t="s">
        <v>4008</v>
      </c>
      <c r="C42" t="s">
        <v>4007</v>
      </c>
      <c r="D42" t="s">
        <v>423</v>
      </c>
      <c r="E42">
        <v>7</v>
      </c>
      <c r="F42" t="s">
        <v>3963</v>
      </c>
      <c r="G42" t="s">
        <v>4020</v>
      </c>
      <c r="H42">
        <v>22</v>
      </c>
      <c r="I42" s="3">
        <v>45763</v>
      </c>
    </row>
    <row r="43" spans="1:9" x14ac:dyDescent="0.25">
      <c r="A43">
        <v>42</v>
      </c>
      <c r="B43" t="s">
        <v>4050</v>
      </c>
      <c r="C43" t="s">
        <v>547</v>
      </c>
      <c r="D43" t="s">
        <v>4049</v>
      </c>
      <c r="E43">
        <v>42</v>
      </c>
      <c r="F43" t="s">
        <v>2768</v>
      </c>
      <c r="G43" t="s">
        <v>4020</v>
      </c>
      <c r="H43">
        <v>7</v>
      </c>
      <c r="I43" s="3">
        <v>45903</v>
      </c>
    </row>
    <row r="44" spans="1:9" x14ac:dyDescent="0.25">
      <c r="A44">
        <v>43</v>
      </c>
      <c r="B44" t="s">
        <v>4026</v>
      </c>
      <c r="C44" t="s">
        <v>159</v>
      </c>
      <c r="D44" t="s">
        <v>160</v>
      </c>
      <c r="E44">
        <v>27</v>
      </c>
      <c r="F44" t="s">
        <v>2744</v>
      </c>
      <c r="G44" t="s">
        <v>4020</v>
      </c>
      <c r="H44">
        <v>36</v>
      </c>
      <c r="I44" s="3">
        <v>45602</v>
      </c>
    </row>
    <row r="45" spans="1:9" x14ac:dyDescent="0.25">
      <c r="A45">
        <v>44</v>
      </c>
      <c r="B45" t="s">
        <v>4331</v>
      </c>
      <c r="C45" t="s">
        <v>3790</v>
      </c>
      <c r="D45" t="s">
        <v>2848</v>
      </c>
      <c r="E45">
        <v>7</v>
      </c>
      <c r="F45" t="s">
        <v>3951</v>
      </c>
      <c r="G45" t="s">
        <v>4030</v>
      </c>
      <c r="H45">
        <v>9</v>
      </c>
      <c r="I45" s="3">
        <v>45854</v>
      </c>
    </row>
    <row r="46" spans="1:9" x14ac:dyDescent="0.25">
      <c r="A46">
        <v>45</v>
      </c>
      <c r="B46" t="s">
        <v>4014</v>
      </c>
      <c r="C46" t="s">
        <v>4013</v>
      </c>
      <c r="D46" t="s">
        <v>3934</v>
      </c>
      <c r="E46">
        <v>10</v>
      </c>
      <c r="F46" t="s">
        <v>4031</v>
      </c>
      <c r="G46" t="s">
        <v>4030</v>
      </c>
      <c r="H46">
        <v>31</v>
      </c>
      <c r="I46" s="3">
        <v>45749</v>
      </c>
    </row>
    <row r="47" spans="1:9" x14ac:dyDescent="0.25">
      <c r="A47">
        <v>46</v>
      </c>
      <c r="B47" t="s">
        <v>4004</v>
      </c>
      <c r="C47" t="s">
        <v>580</v>
      </c>
      <c r="D47" t="s">
        <v>4003</v>
      </c>
      <c r="E47">
        <v>14</v>
      </c>
      <c r="F47" t="s">
        <v>4139</v>
      </c>
      <c r="G47" t="s">
        <v>4030</v>
      </c>
      <c r="H47">
        <v>7</v>
      </c>
      <c r="I47" s="3">
        <v>45868</v>
      </c>
    </row>
    <row r="48" spans="1:9" x14ac:dyDescent="0.25">
      <c r="A48">
        <v>47</v>
      </c>
      <c r="B48" t="s">
        <v>4010</v>
      </c>
      <c r="C48" t="s">
        <v>4009</v>
      </c>
      <c r="D48" t="s">
        <v>2807</v>
      </c>
      <c r="E48">
        <v>4</v>
      </c>
      <c r="F48" t="s">
        <v>4031</v>
      </c>
      <c r="G48" t="s">
        <v>4030</v>
      </c>
      <c r="H48">
        <v>14</v>
      </c>
      <c r="I48" s="3">
        <v>45812</v>
      </c>
    </row>
    <row r="49" spans="1:9" x14ac:dyDescent="0.25">
      <c r="A49">
        <v>48</v>
      </c>
      <c r="B49" t="s">
        <v>4024</v>
      </c>
      <c r="C49" t="s">
        <v>652</v>
      </c>
      <c r="D49" t="s">
        <v>4023</v>
      </c>
      <c r="E49">
        <v>42</v>
      </c>
      <c r="F49" t="s">
        <v>3980</v>
      </c>
      <c r="G49" t="s">
        <v>4030</v>
      </c>
      <c r="H49">
        <v>23</v>
      </c>
      <c r="I49" s="3">
        <v>45889</v>
      </c>
    </row>
    <row r="50" spans="1:9" x14ac:dyDescent="0.25">
      <c r="A50">
        <v>49</v>
      </c>
      <c r="B50" t="s">
        <v>4040</v>
      </c>
      <c r="C50" t="s">
        <v>1034</v>
      </c>
      <c r="D50" t="s">
        <v>1110</v>
      </c>
      <c r="E50">
        <v>49</v>
      </c>
      <c r="F50" t="s">
        <v>2768</v>
      </c>
      <c r="G50" t="s">
        <v>4030</v>
      </c>
      <c r="H50">
        <v>6</v>
      </c>
      <c r="I50" s="3">
        <v>45903</v>
      </c>
    </row>
    <row r="51" spans="1:9" x14ac:dyDescent="0.25">
      <c r="A51">
        <v>50</v>
      </c>
      <c r="B51" t="s">
        <v>4334</v>
      </c>
      <c r="C51" t="s">
        <v>170</v>
      </c>
      <c r="D51" t="s">
        <v>171</v>
      </c>
      <c r="E51">
        <v>50</v>
      </c>
      <c r="F51" t="s">
        <v>3806</v>
      </c>
      <c r="G51" t="s">
        <v>4030</v>
      </c>
      <c r="H51">
        <v>3</v>
      </c>
      <c r="I51" s="3">
        <v>45903</v>
      </c>
    </row>
    <row r="52" spans="1:9" x14ac:dyDescent="0.25">
      <c r="A52">
        <v>51</v>
      </c>
      <c r="B52" t="s">
        <v>4333</v>
      </c>
      <c r="C52" t="s">
        <v>33</v>
      </c>
      <c r="D52" t="s">
        <v>2817</v>
      </c>
      <c r="E52">
        <v>51</v>
      </c>
      <c r="F52" t="s">
        <v>2753</v>
      </c>
      <c r="G52" t="s">
        <v>4037</v>
      </c>
      <c r="H52">
        <v>22</v>
      </c>
      <c r="I52" s="3">
        <v>45903</v>
      </c>
    </row>
    <row r="53" spans="1:9" x14ac:dyDescent="0.25">
      <c r="A53">
        <v>52</v>
      </c>
      <c r="B53" t="s">
        <v>5087</v>
      </c>
      <c r="C53" t="s">
        <v>2425</v>
      </c>
      <c r="D53" t="s">
        <v>5088</v>
      </c>
      <c r="E53">
        <v>52</v>
      </c>
      <c r="F53" t="s">
        <v>3950</v>
      </c>
      <c r="G53" t="s">
        <v>4041</v>
      </c>
      <c r="H53">
        <v>1</v>
      </c>
      <c r="I53" s="3">
        <v>45903</v>
      </c>
    </row>
    <row r="54" spans="1:9" x14ac:dyDescent="0.25">
      <c r="A54">
        <v>53</v>
      </c>
      <c r="B54" t="s">
        <v>4094</v>
      </c>
      <c r="C54" t="s">
        <v>599</v>
      </c>
      <c r="D54" t="s">
        <v>2857</v>
      </c>
      <c r="E54">
        <v>53</v>
      </c>
      <c r="F54" t="s">
        <v>2808</v>
      </c>
      <c r="G54" t="s">
        <v>4041</v>
      </c>
      <c r="H54">
        <v>3</v>
      </c>
      <c r="I54" s="3">
        <v>45903</v>
      </c>
    </row>
    <row r="55" spans="1:9" x14ac:dyDescent="0.25">
      <c r="A55">
        <v>54</v>
      </c>
      <c r="B55" t="s">
        <v>4001</v>
      </c>
      <c r="C55" t="s">
        <v>527</v>
      </c>
      <c r="D55" t="s">
        <v>4000</v>
      </c>
      <c r="E55">
        <v>30</v>
      </c>
      <c r="F55" t="s">
        <v>5089</v>
      </c>
      <c r="G55" t="s">
        <v>4041</v>
      </c>
      <c r="H55">
        <v>5</v>
      </c>
      <c r="I55" s="3">
        <v>45882</v>
      </c>
    </row>
    <row r="56" spans="1:9" x14ac:dyDescent="0.25">
      <c r="A56">
        <v>55</v>
      </c>
      <c r="B56" t="s">
        <v>4332</v>
      </c>
      <c r="C56" t="s">
        <v>33</v>
      </c>
      <c r="D56" t="s">
        <v>2820</v>
      </c>
      <c r="E56">
        <v>54</v>
      </c>
      <c r="F56" t="s">
        <v>3956</v>
      </c>
      <c r="G56" t="s">
        <v>4041</v>
      </c>
      <c r="H56">
        <v>5</v>
      </c>
      <c r="I56" s="3">
        <v>45896</v>
      </c>
    </row>
    <row r="57" spans="1:9" x14ac:dyDescent="0.25">
      <c r="A57">
        <v>56</v>
      </c>
      <c r="B57" t="s">
        <v>4022</v>
      </c>
      <c r="C57" t="s">
        <v>4021</v>
      </c>
      <c r="D57" t="s">
        <v>2810</v>
      </c>
      <c r="E57">
        <v>41</v>
      </c>
      <c r="F57" t="s">
        <v>4025</v>
      </c>
      <c r="G57" t="s">
        <v>4041</v>
      </c>
      <c r="H57">
        <v>7</v>
      </c>
      <c r="I57" s="3">
        <v>45889</v>
      </c>
    </row>
    <row r="58" spans="1:9" x14ac:dyDescent="0.25">
      <c r="A58">
        <v>57</v>
      </c>
      <c r="B58" t="s">
        <v>4338</v>
      </c>
      <c r="C58" t="s">
        <v>527</v>
      </c>
      <c r="D58" t="s">
        <v>4339</v>
      </c>
      <c r="E58">
        <v>57</v>
      </c>
      <c r="F58" t="s">
        <v>3901</v>
      </c>
      <c r="G58" t="s">
        <v>4041</v>
      </c>
      <c r="H58">
        <v>2</v>
      </c>
      <c r="I58" s="3">
        <v>45903</v>
      </c>
    </row>
    <row r="59" spans="1:9" x14ac:dyDescent="0.25">
      <c r="A59">
        <v>58</v>
      </c>
      <c r="B59" t="s">
        <v>4019</v>
      </c>
      <c r="C59" t="s">
        <v>115</v>
      </c>
      <c r="D59" t="s">
        <v>116</v>
      </c>
      <c r="E59">
        <v>4</v>
      </c>
      <c r="F59" t="s">
        <v>5090</v>
      </c>
      <c r="G59" t="s">
        <v>4041</v>
      </c>
      <c r="H59">
        <v>12</v>
      </c>
      <c r="I59" s="3">
        <v>45833</v>
      </c>
    </row>
    <row r="60" spans="1:9" x14ac:dyDescent="0.25">
      <c r="A60">
        <v>59</v>
      </c>
      <c r="B60" t="s">
        <v>4051</v>
      </c>
      <c r="C60" t="s">
        <v>58</v>
      </c>
      <c r="D60" t="s">
        <v>59</v>
      </c>
      <c r="E60">
        <v>32</v>
      </c>
      <c r="F60" t="s">
        <v>5091</v>
      </c>
      <c r="G60" t="s">
        <v>4041</v>
      </c>
      <c r="H60">
        <v>10</v>
      </c>
      <c r="I60" s="3">
        <v>45854</v>
      </c>
    </row>
    <row r="61" spans="1:9" x14ac:dyDescent="0.25">
      <c r="A61">
        <v>60</v>
      </c>
      <c r="B61" t="s">
        <v>5092</v>
      </c>
      <c r="C61" t="s">
        <v>3245</v>
      </c>
      <c r="D61" t="s">
        <v>5093</v>
      </c>
      <c r="E61">
        <v>45</v>
      </c>
      <c r="F61" t="s">
        <v>4006</v>
      </c>
      <c r="G61" t="s">
        <v>4052</v>
      </c>
      <c r="H61">
        <v>28</v>
      </c>
      <c r="I61" s="3">
        <v>45343</v>
      </c>
    </row>
    <row r="62" spans="1:9" x14ac:dyDescent="0.25">
      <c r="A62">
        <v>61</v>
      </c>
      <c r="B62" t="s">
        <v>5094</v>
      </c>
      <c r="C62" t="s">
        <v>5095</v>
      </c>
      <c r="D62" t="s">
        <v>3715</v>
      </c>
      <c r="E62">
        <v>61</v>
      </c>
      <c r="F62" t="s">
        <v>3950</v>
      </c>
      <c r="G62" t="s">
        <v>4052</v>
      </c>
      <c r="H62">
        <v>1</v>
      </c>
      <c r="I62" s="3">
        <v>45903</v>
      </c>
    </row>
    <row r="63" spans="1:9" x14ac:dyDescent="0.25">
      <c r="A63">
        <v>62</v>
      </c>
      <c r="B63" t="s">
        <v>5096</v>
      </c>
      <c r="C63" t="s">
        <v>4488</v>
      </c>
      <c r="D63" t="s">
        <v>4493</v>
      </c>
      <c r="E63">
        <v>62</v>
      </c>
      <c r="F63" t="s">
        <v>3950</v>
      </c>
      <c r="G63" t="s">
        <v>4052</v>
      </c>
      <c r="H63">
        <v>1</v>
      </c>
      <c r="I63" s="3">
        <v>45903</v>
      </c>
    </row>
    <row r="64" spans="1:9" x14ac:dyDescent="0.25">
      <c r="A64">
        <v>63</v>
      </c>
      <c r="B64" t="s">
        <v>4029</v>
      </c>
      <c r="C64" t="s">
        <v>4028</v>
      </c>
      <c r="D64" t="s">
        <v>4027</v>
      </c>
      <c r="E64">
        <v>38</v>
      </c>
      <c r="F64" t="s">
        <v>5091</v>
      </c>
      <c r="G64" t="s">
        <v>4052</v>
      </c>
      <c r="H64">
        <v>8</v>
      </c>
      <c r="I64" s="3">
        <v>45861</v>
      </c>
    </row>
    <row r="65" spans="1:9" x14ac:dyDescent="0.25">
      <c r="A65">
        <v>64</v>
      </c>
      <c r="B65" t="s">
        <v>4048</v>
      </c>
      <c r="C65" t="s">
        <v>557</v>
      </c>
      <c r="D65" t="s">
        <v>2802</v>
      </c>
      <c r="E65">
        <v>49</v>
      </c>
      <c r="F65" t="s">
        <v>5090</v>
      </c>
      <c r="G65" t="s">
        <v>4052</v>
      </c>
      <c r="H65">
        <v>19</v>
      </c>
      <c r="I65" s="3">
        <v>45875</v>
      </c>
    </row>
    <row r="66" spans="1:9" x14ac:dyDescent="0.25">
      <c r="A66">
        <v>65</v>
      </c>
      <c r="B66" t="s">
        <v>4046</v>
      </c>
      <c r="C66" t="s">
        <v>601</v>
      </c>
      <c r="D66" t="s">
        <v>5097</v>
      </c>
      <c r="E66">
        <v>33</v>
      </c>
      <c r="F66" t="s">
        <v>4025</v>
      </c>
      <c r="G66" t="s">
        <v>4052</v>
      </c>
      <c r="H66">
        <v>17</v>
      </c>
      <c r="I66" s="3">
        <v>45826</v>
      </c>
    </row>
    <row r="67" spans="1:9" x14ac:dyDescent="0.25">
      <c r="A67">
        <v>66</v>
      </c>
      <c r="B67" t="s">
        <v>4072</v>
      </c>
      <c r="C67" t="s">
        <v>4071</v>
      </c>
      <c r="D67" t="s">
        <v>4070</v>
      </c>
      <c r="E67">
        <v>66</v>
      </c>
      <c r="F67" t="s">
        <v>2762</v>
      </c>
      <c r="G67" t="s">
        <v>4054</v>
      </c>
      <c r="H67">
        <v>5</v>
      </c>
      <c r="I67" s="3">
        <v>45882</v>
      </c>
    </row>
    <row r="68" spans="1:9" x14ac:dyDescent="0.25">
      <c r="A68">
        <v>67</v>
      </c>
      <c r="B68" t="s">
        <v>4047</v>
      </c>
      <c r="C68" t="s">
        <v>1019</v>
      </c>
      <c r="D68" t="s">
        <v>182</v>
      </c>
      <c r="E68">
        <v>8</v>
      </c>
      <c r="F68" t="s">
        <v>4031</v>
      </c>
      <c r="G68" t="s">
        <v>4054</v>
      </c>
      <c r="H68">
        <v>19</v>
      </c>
      <c r="I68" s="3">
        <v>45798</v>
      </c>
    </row>
    <row r="69" spans="1:9" x14ac:dyDescent="0.25">
      <c r="A69">
        <v>68</v>
      </c>
      <c r="B69" t="s">
        <v>4045</v>
      </c>
      <c r="C69" t="s">
        <v>601</v>
      </c>
      <c r="D69" t="s">
        <v>4044</v>
      </c>
      <c r="E69">
        <v>40</v>
      </c>
      <c r="F69" t="s">
        <v>3951</v>
      </c>
      <c r="G69" t="s">
        <v>4054</v>
      </c>
      <c r="H69">
        <v>18</v>
      </c>
      <c r="I69" s="3">
        <v>45784</v>
      </c>
    </row>
    <row r="70" spans="1:9" x14ac:dyDescent="0.25">
      <c r="A70">
        <v>69</v>
      </c>
      <c r="B70" t="s">
        <v>4078</v>
      </c>
      <c r="C70" t="s">
        <v>503</v>
      </c>
      <c r="D70" t="s">
        <v>504</v>
      </c>
      <c r="E70">
        <v>69</v>
      </c>
      <c r="F70" t="s">
        <v>2865</v>
      </c>
      <c r="G70" t="s">
        <v>4062</v>
      </c>
      <c r="H70">
        <v>5</v>
      </c>
      <c r="I70" s="3">
        <v>45903</v>
      </c>
    </row>
    <row r="71" spans="1:9" x14ac:dyDescent="0.25">
      <c r="A71">
        <v>70</v>
      </c>
      <c r="B71" t="s">
        <v>4064</v>
      </c>
      <c r="C71" t="s">
        <v>43</v>
      </c>
      <c r="D71" t="s">
        <v>2845</v>
      </c>
      <c r="E71">
        <v>59</v>
      </c>
      <c r="F71" t="s">
        <v>4031</v>
      </c>
      <c r="G71" t="s">
        <v>4062</v>
      </c>
      <c r="H71">
        <v>8</v>
      </c>
      <c r="I71" s="3">
        <v>45854</v>
      </c>
    </row>
    <row r="72" spans="1:9" x14ac:dyDescent="0.25">
      <c r="A72">
        <v>71</v>
      </c>
      <c r="B72" t="s">
        <v>4060</v>
      </c>
      <c r="C72" t="s">
        <v>173</v>
      </c>
      <c r="D72" t="s">
        <v>4059</v>
      </c>
      <c r="E72">
        <v>24</v>
      </c>
      <c r="F72" t="s">
        <v>3963</v>
      </c>
      <c r="G72" t="s">
        <v>4062</v>
      </c>
      <c r="H72">
        <v>17</v>
      </c>
      <c r="I72" s="3">
        <v>45819</v>
      </c>
    </row>
    <row r="73" spans="1:9" x14ac:dyDescent="0.25">
      <c r="A73">
        <v>72</v>
      </c>
      <c r="B73" t="s">
        <v>4075</v>
      </c>
      <c r="C73" t="s">
        <v>930</v>
      </c>
      <c r="D73" t="s">
        <v>931</v>
      </c>
      <c r="E73">
        <v>69</v>
      </c>
      <c r="F73" t="s">
        <v>3963</v>
      </c>
      <c r="G73" t="s">
        <v>4062</v>
      </c>
      <c r="H73">
        <v>5</v>
      </c>
      <c r="I73" s="3">
        <v>45882</v>
      </c>
    </row>
    <row r="74" spans="1:9" x14ac:dyDescent="0.25">
      <c r="A74">
        <v>73</v>
      </c>
      <c r="B74" t="s">
        <v>5098</v>
      </c>
      <c r="C74" t="s">
        <v>1019</v>
      </c>
      <c r="D74" t="s">
        <v>1018</v>
      </c>
      <c r="E74">
        <v>73</v>
      </c>
      <c r="F74" t="s">
        <v>3950</v>
      </c>
      <c r="G74" t="s">
        <v>4062</v>
      </c>
      <c r="H74">
        <v>1</v>
      </c>
      <c r="I74" s="3">
        <v>45903</v>
      </c>
    </row>
    <row r="75" spans="1:9" x14ac:dyDescent="0.25">
      <c r="A75">
        <v>74</v>
      </c>
      <c r="B75" t="s">
        <v>4018</v>
      </c>
      <c r="C75" t="s">
        <v>93</v>
      </c>
      <c r="D75" t="s">
        <v>94</v>
      </c>
      <c r="E75">
        <v>39</v>
      </c>
      <c r="F75" t="s">
        <v>5099</v>
      </c>
      <c r="G75" t="s">
        <v>4062</v>
      </c>
      <c r="H75">
        <v>3</v>
      </c>
      <c r="I75" s="3">
        <v>45889</v>
      </c>
    </row>
    <row r="76" spans="1:9" x14ac:dyDescent="0.25">
      <c r="A76">
        <v>75</v>
      </c>
      <c r="B76" t="s">
        <v>4061</v>
      </c>
      <c r="C76" t="s">
        <v>476</v>
      </c>
      <c r="D76" t="s">
        <v>2842</v>
      </c>
      <c r="E76">
        <v>39</v>
      </c>
      <c r="F76" t="s">
        <v>4069</v>
      </c>
      <c r="G76" t="s">
        <v>4062</v>
      </c>
      <c r="H76">
        <v>19</v>
      </c>
      <c r="I76" s="3">
        <v>45777</v>
      </c>
    </row>
    <row r="77" spans="1:9" x14ac:dyDescent="0.25">
      <c r="A77">
        <v>76</v>
      </c>
      <c r="B77" t="s">
        <v>4074</v>
      </c>
      <c r="C77" t="s">
        <v>622</v>
      </c>
      <c r="D77" t="s">
        <v>4073</v>
      </c>
      <c r="E77">
        <v>64</v>
      </c>
      <c r="F77" t="s">
        <v>2750</v>
      </c>
      <c r="G77" t="s">
        <v>4062</v>
      </c>
      <c r="H77">
        <v>18</v>
      </c>
      <c r="I77" s="3">
        <v>45840</v>
      </c>
    </row>
    <row r="78" spans="1:9" x14ac:dyDescent="0.25">
      <c r="A78">
        <v>77</v>
      </c>
      <c r="B78" t="s">
        <v>4043</v>
      </c>
      <c r="C78" t="s">
        <v>561</v>
      </c>
      <c r="D78" t="s">
        <v>4042</v>
      </c>
      <c r="E78">
        <v>54</v>
      </c>
      <c r="F78" t="s">
        <v>5089</v>
      </c>
      <c r="G78" t="s">
        <v>4062</v>
      </c>
      <c r="H78">
        <v>6</v>
      </c>
      <c r="I78" s="3">
        <v>45882</v>
      </c>
    </row>
    <row r="79" spans="1:9" x14ac:dyDescent="0.25">
      <c r="A79">
        <v>78</v>
      </c>
      <c r="B79" t="s">
        <v>4086</v>
      </c>
      <c r="C79" t="s">
        <v>43</v>
      </c>
      <c r="D79" t="s">
        <v>2869</v>
      </c>
      <c r="E79">
        <v>66</v>
      </c>
      <c r="F79" t="s">
        <v>2779</v>
      </c>
      <c r="G79" t="s">
        <v>4062</v>
      </c>
      <c r="H79">
        <v>7</v>
      </c>
      <c r="I79" s="3">
        <v>45756</v>
      </c>
    </row>
    <row r="80" spans="1:9" x14ac:dyDescent="0.25">
      <c r="A80">
        <v>79</v>
      </c>
      <c r="B80" t="s">
        <v>4337</v>
      </c>
      <c r="C80" t="s">
        <v>959</v>
      </c>
      <c r="D80" t="s">
        <v>960</v>
      </c>
      <c r="E80">
        <v>79</v>
      </c>
      <c r="F80" t="s">
        <v>2753</v>
      </c>
      <c r="G80" t="s">
        <v>4062</v>
      </c>
      <c r="H80">
        <v>2</v>
      </c>
      <c r="I80" s="3">
        <v>45903</v>
      </c>
    </row>
    <row r="81" spans="1:9" x14ac:dyDescent="0.25">
      <c r="A81">
        <v>80</v>
      </c>
      <c r="B81" t="s">
        <v>4068</v>
      </c>
      <c r="C81" t="s">
        <v>107</v>
      </c>
      <c r="D81" t="s">
        <v>108</v>
      </c>
      <c r="E81">
        <v>71</v>
      </c>
      <c r="F81" t="s">
        <v>3980</v>
      </c>
      <c r="G81" t="s">
        <v>4062</v>
      </c>
      <c r="H81">
        <v>15</v>
      </c>
      <c r="I81" s="3">
        <v>45882</v>
      </c>
    </row>
    <row r="82" spans="1:9" x14ac:dyDescent="0.25">
      <c r="A82">
        <v>81</v>
      </c>
      <c r="B82" t="s">
        <v>5100</v>
      </c>
      <c r="C82" t="s">
        <v>3936</v>
      </c>
      <c r="D82" t="s">
        <v>2855</v>
      </c>
      <c r="E82">
        <v>81</v>
      </c>
      <c r="F82" t="s">
        <v>3950</v>
      </c>
      <c r="G82" t="s">
        <v>4077</v>
      </c>
      <c r="H82">
        <v>1</v>
      </c>
      <c r="I82" s="3">
        <v>45903</v>
      </c>
    </row>
    <row r="83" spans="1:9" x14ac:dyDescent="0.25">
      <c r="A83">
        <v>82</v>
      </c>
      <c r="B83" t="s">
        <v>4057</v>
      </c>
      <c r="C83" t="s">
        <v>4056</v>
      </c>
      <c r="D83" t="s">
        <v>4055</v>
      </c>
      <c r="E83">
        <v>63</v>
      </c>
      <c r="F83" t="s">
        <v>4006</v>
      </c>
      <c r="G83" t="s">
        <v>4077</v>
      </c>
      <c r="H83">
        <v>8</v>
      </c>
      <c r="I83" s="3">
        <v>45882</v>
      </c>
    </row>
    <row r="84" spans="1:9" x14ac:dyDescent="0.25">
      <c r="A84">
        <v>83</v>
      </c>
      <c r="B84" t="s">
        <v>4076</v>
      </c>
      <c r="C84" t="s">
        <v>209</v>
      </c>
      <c r="D84" t="s">
        <v>2863</v>
      </c>
      <c r="E84">
        <v>12</v>
      </c>
      <c r="F84" t="s">
        <v>4069</v>
      </c>
      <c r="G84" t="s">
        <v>4077</v>
      </c>
      <c r="H84">
        <v>13</v>
      </c>
      <c r="I84" s="3">
        <v>45819</v>
      </c>
    </row>
    <row r="85" spans="1:9" x14ac:dyDescent="0.25">
      <c r="A85">
        <v>84</v>
      </c>
      <c r="B85" t="s">
        <v>4066</v>
      </c>
      <c r="C85" t="s">
        <v>2814</v>
      </c>
      <c r="D85" t="s">
        <v>4065</v>
      </c>
      <c r="E85">
        <v>64</v>
      </c>
      <c r="F85" t="s">
        <v>4168</v>
      </c>
      <c r="G85" t="s">
        <v>4077</v>
      </c>
      <c r="H85">
        <v>5</v>
      </c>
      <c r="I85" s="3">
        <v>45882</v>
      </c>
    </row>
    <row r="86" spans="1:9" x14ac:dyDescent="0.25">
      <c r="A86">
        <v>85</v>
      </c>
      <c r="B86" t="s">
        <v>4079</v>
      </c>
      <c r="C86" t="s">
        <v>69</v>
      </c>
      <c r="D86" t="s">
        <v>2860</v>
      </c>
      <c r="E86">
        <v>83</v>
      </c>
      <c r="F86" t="s">
        <v>3951</v>
      </c>
      <c r="G86" t="s">
        <v>4077</v>
      </c>
      <c r="H86">
        <v>3</v>
      </c>
      <c r="I86" s="3">
        <v>45889</v>
      </c>
    </row>
    <row r="87" spans="1:9" x14ac:dyDescent="0.25">
      <c r="A87">
        <v>86</v>
      </c>
      <c r="B87" t="s">
        <v>4082</v>
      </c>
      <c r="C87" t="s">
        <v>4081</v>
      </c>
      <c r="D87" t="s">
        <v>4080</v>
      </c>
      <c r="E87">
        <v>84</v>
      </c>
      <c r="F87" t="s">
        <v>3945</v>
      </c>
      <c r="G87" t="s">
        <v>4077</v>
      </c>
      <c r="H87">
        <v>5</v>
      </c>
      <c r="I87" s="3">
        <v>45889</v>
      </c>
    </row>
    <row r="88" spans="1:9" x14ac:dyDescent="0.25">
      <c r="A88">
        <v>87</v>
      </c>
      <c r="B88" t="s">
        <v>4053</v>
      </c>
      <c r="C88" t="s">
        <v>554</v>
      </c>
      <c r="D88" t="s">
        <v>475</v>
      </c>
      <c r="E88">
        <v>62</v>
      </c>
      <c r="F88" t="s">
        <v>3951</v>
      </c>
      <c r="G88" t="s">
        <v>4085</v>
      </c>
      <c r="H88">
        <v>4</v>
      </c>
      <c r="I88" s="3">
        <v>45889</v>
      </c>
    </row>
    <row r="89" spans="1:9" x14ac:dyDescent="0.25">
      <c r="A89">
        <v>88</v>
      </c>
      <c r="B89" t="s">
        <v>4093</v>
      </c>
      <c r="C89" t="s">
        <v>2662</v>
      </c>
      <c r="D89" t="s">
        <v>2840</v>
      </c>
      <c r="E89">
        <v>88</v>
      </c>
      <c r="F89" t="s">
        <v>2744</v>
      </c>
      <c r="G89" t="s">
        <v>4085</v>
      </c>
      <c r="H89">
        <v>3</v>
      </c>
      <c r="I89" s="3">
        <v>45903</v>
      </c>
    </row>
    <row r="90" spans="1:9" x14ac:dyDescent="0.25">
      <c r="A90">
        <v>89</v>
      </c>
      <c r="B90" t="s">
        <v>4063</v>
      </c>
      <c r="C90" t="s">
        <v>347</v>
      </c>
      <c r="D90" t="s">
        <v>348</v>
      </c>
      <c r="E90">
        <v>70</v>
      </c>
      <c r="F90" t="s">
        <v>4168</v>
      </c>
      <c r="G90" t="s">
        <v>4085</v>
      </c>
      <c r="H90">
        <v>5</v>
      </c>
      <c r="I90" s="3">
        <v>45889</v>
      </c>
    </row>
    <row r="91" spans="1:9" x14ac:dyDescent="0.25">
      <c r="A91">
        <v>90</v>
      </c>
      <c r="B91" t="s">
        <v>5101</v>
      </c>
      <c r="C91" t="s">
        <v>3813</v>
      </c>
      <c r="D91" t="s">
        <v>3814</v>
      </c>
      <c r="E91">
        <v>90</v>
      </c>
      <c r="F91" t="s">
        <v>3950</v>
      </c>
      <c r="G91" t="s">
        <v>4085</v>
      </c>
      <c r="H91">
        <v>1</v>
      </c>
      <c r="I91" s="3">
        <v>45903</v>
      </c>
    </row>
    <row r="92" spans="1:9" x14ac:dyDescent="0.25">
      <c r="A92">
        <v>91</v>
      </c>
      <c r="B92" t="s">
        <v>4336</v>
      </c>
      <c r="C92" t="s">
        <v>224</v>
      </c>
      <c r="D92" t="s">
        <v>4067</v>
      </c>
      <c r="E92">
        <v>82</v>
      </c>
      <c r="F92" t="s">
        <v>4139</v>
      </c>
      <c r="G92" t="s">
        <v>4085</v>
      </c>
      <c r="H92">
        <v>2</v>
      </c>
      <c r="I92" s="3">
        <v>45896</v>
      </c>
    </row>
    <row r="93" spans="1:9" x14ac:dyDescent="0.25">
      <c r="A93">
        <v>92</v>
      </c>
      <c r="B93" t="s">
        <v>4340</v>
      </c>
      <c r="C93" t="s">
        <v>273</v>
      </c>
      <c r="D93" t="s">
        <v>1126</v>
      </c>
      <c r="E93">
        <v>92</v>
      </c>
      <c r="F93" t="s">
        <v>2741</v>
      </c>
      <c r="G93" t="s">
        <v>4085</v>
      </c>
      <c r="H93">
        <v>2</v>
      </c>
      <c r="I93" s="3">
        <v>45903</v>
      </c>
    </row>
    <row r="94" spans="1:9" x14ac:dyDescent="0.25">
      <c r="A94">
        <v>93</v>
      </c>
      <c r="B94" t="s">
        <v>5102</v>
      </c>
      <c r="C94" t="s">
        <v>5103</v>
      </c>
      <c r="D94" t="s">
        <v>5104</v>
      </c>
      <c r="E94">
        <v>93</v>
      </c>
      <c r="F94" t="s">
        <v>3950</v>
      </c>
      <c r="G94" t="s">
        <v>4085</v>
      </c>
      <c r="H94">
        <v>1</v>
      </c>
      <c r="I94" s="3">
        <v>45903</v>
      </c>
    </row>
    <row r="95" spans="1:9" x14ac:dyDescent="0.25">
      <c r="A95">
        <v>94</v>
      </c>
      <c r="B95" t="s">
        <v>4084</v>
      </c>
      <c r="C95" t="s">
        <v>4083</v>
      </c>
      <c r="D95" t="s">
        <v>293</v>
      </c>
      <c r="E95">
        <v>87</v>
      </c>
      <c r="F95" t="s">
        <v>4031</v>
      </c>
      <c r="G95" t="s">
        <v>4085</v>
      </c>
      <c r="H95">
        <v>5</v>
      </c>
      <c r="I95" s="3">
        <v>45889</v>
      </c>
    </row>
    <row r="96" spans="1:9" x14ac:dyDescent="0.25">
      <c r="A96">
        <v>95</v>
      </c>
      <c r="B96" t="s">
        <v>4058</v>
      </c>
      <c r="C96" t="s">
        <v>3915</v>
      </c>
      <c r="D96" t="s">
        <v>223</v>
      </c>
      <c r="E96">
        <v>30</v>
      </c>
      <c r="F96" t="s">
        <v>3996</v>
      </c>
      <c r="G96" t="s">
        <v>4085</v>
      </c>
      <c r="H96">
        <v>12</v>
      </c>
      <c r="I96" s="3">
        <v>45847</v>
      </c>
    </row>
    <row r="97" spans="1:9" x14ac:dyDescent="0.25">
      <c r="A97">
        <v>96</v>
      </c>
      <c r="B97" t="s">
        <v>4341</v>
      </c>
      <c r="C97" t="s">
        <v>1047</v>
      </c>
      <c r="D97" t="s">
        <v>4342</v>
      </c>
      <c r="E97">
        <v>96</v>
      </c>
      <c r="F97" t="s">
        <v>2744</v>
      </c>
      <c r="G97" t="s">
        <v>4089</v>
      </c>
      <c r="H97">
        <v>2</v>
      </c>
      <c r="I97" s="3">
        <v>45903</v>
      </c>
    </row>
    <row r="98" spans="1:9" x14ac:dyDescent="0.25">
      <c r="A98">
        <v>97</v>
      </c>
      <c r="B98" t="s">
        <v>5105</v>
      </c>
      <c r="C98" t="s">
        <v>5106</v>
      </c>
      <c r="D98" t="s">
        <v>4665</v>
      </c>
      <c r="E98">
        <v>67</v>
      </c>
      <c r="F98" t="s">
        <v>5107</v>
      </c>
      <c r="G98" t="s">
        <v>4089</v>
      </c>
      <c r="H98">
        <v>2</v>
      </c>
      <c r="I98" s="3">
        <v>45861</v>
      </c>
    </row>
    <row r="99" spans="1:9" x14ac:dyDescent="0.25">
      <c r="A99">
        <v>98</v>
      </c>
      <c r="B99" t="s">
        <v>4092</v>
      </c>
      <c r="C99" t="s">
        <v>4091</v>
      </c>
      <c r="D99" t="s">
        <v>4090</v>
      </c>
      <c r="E99">
        <v>86</v>
      </c>
      <c r="F99" t="s">
        <v>3951</v>
      </c>
      <c r="G99" t="s">
        <v>4089</v>
      </c>
      <c r="H99">
        <v>5</v>
      </c>
      <c r="I99" s="3">
        <v>45882</v>
      </c>
    </row>
    <row r="100" spans="1:9" x14ac:dyDescent="0.25">
      <c r="A100">
        <v>99</v>
      </c>
      <c r="B100" t="s">
        <v>4095</v>
      </c>
      <c r="C100" t="s">
        <v>503</v>
      </c>
      <c r="D100" t="s">
        <v>1293</v>
      </c>
      <c r="E100">
        <v>72</v>
      </c>
      <c r="F100" t="s">
        <v>2741</v>
      </c>
      <c r="G100" t="s">
        <v>4089</v>
      </c>
      <c r="H100">
        <v>14</v>
      </c>
      <c r="I100" s="3">
        <v>45833</v>
      </c>
    </row>
    <row r="101" spans="1:9" x14ac:dyDescent="0.25">
      <c r="A101">
        <v>100</v>
      </c>
      <c r="B101" t="s">
        <v>5108</v>
      </c>
      <c r="C101" t="s">
        <v>1778</v>
      </c>
      <c r="D101" t="s">
        <v>5109</v>
      </c>
      <c r="E101">
        <v>54</v>
      </c>
      <c r="F101" t="s">
        <v>5110</v>
      </c>
      <c r="G101" t="s">
        <v>4089</v>
      </c>
      <c r="H101">
        <v>8</v>
      </c>
      <c r="I101" s="3">
        <v>45805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37249-77AE-4527-AED3-EAF6763B3EB1}">
  <sheetPr codeName="Planilha2"/>
  <dimension ref="A1:K1266"/>
  <sheetViews>
    <sheetView showGridLines="0" zoomScale="90" zoomScaleNormal="90" workbookViewId="0">
      <selection activeCell="K13" sqref="K13"/>
    </sheetView>
  </sheetViews>
  <sheetFormatPr defaultRowHeight="15" x14ac:dyDescent="0.25"/>
  <cols>
    <col min="1" max="1" width="11.5703125" bestFit="1" customWidth="1"/>
    <col min="2" max="2" width="5.42578125" bestFit="1" customWidth="1"/>
    <col min="3" max="3" width="12.7109375" customWidth="1"/>
    <col min="4" max="4" width="15.140625" customWidth="1"/>
    <col min="5" max="5" width="16.85546875" customWidth="1"/>
    <col min="6" max="6" width="10.140625" bestFit="1" customWidth="1"/>
    <col min="9" max="9" width="12.140625" bestFit="1" customWidth="1"/>
    <col min="10" max="10" width="10.140625" customWidth="1"/>
    <col min="11" max="11" width="11.5703125" bestFit="1" customWidth="1"/>
  </cols>
  <sheetData>
    <row r="1" spans="1:11" ht="25.5" customHeight="1" x14ac:dyDescent="0.25"/>
    <row r="2" spans="1:11" ht="24.75" customHeight="1" x14ac:dyDescent="0.25">
      <c r="A2" s="3"/>
      <c r="C2" s="3"/>
      <c r="I2" s="3"/>
      <c r="K2" s="3"/>
    </row>
    <row r="3" spans="1:11" x14ac:dyDescent="0.25">
      <c r="A3" s="3"/>
      <c r="C3" s="3"/>
      <c r="I3" s="3"/>
      <c r="K3" s="3"/>
    </row>
    <row r="4" spans="1:11" x14ac:dyDescent="0.25">
      <c r="A4" s="3"/>
      <c r="C4" s="3"/>
      <c r="I4" s="3"/>
      <c r="K4" s="3"/>
    </row>
    <row r="5" spans="1:11" x14ac:dyDescent="0.25">
      <c r="A5" s="3"/>
      <c r="C5" s="3"/>
      <c r="I5" s="3"/>
      <c r="K5" s="3"/>
    </row>
    <row r="6" spans="1:11" x14ac:dyDescent="0.25">
      <c r="A6" s="3"/>
      <c r="C6" s="3"/>
      <c r="I6" s="3"/>
      <c r="K6" s="3"/>
    </row>
    <row r="7" spans="1:11" x14ac:dyDescent="0.25">
      <c r="A7" s="3"/>
      <c r="C7" s="3"/>
      <c r="I7" s="3"/>
      <c r="K7" s="3"/>
    </row>
    <row r="8" spans="1:11" x14ac:dyDescent="0.25">
      <c r="A8" s="3"/>
      <c r="C8" s="3"/>
      <c r="I8" s="3"/>
      <c r="K8" s="3"/>
    </row>
    <row r="9" spans="1:11" x14ac:dyDescent="0.25">
      <c r="A9" s="3"/>
      <c r="I9" s="3"/>
    </row>
    <row r="10" spans="1:11" x14ac:dyDescent="0.25">
      <c r="A10" s="3"/>
      <c r="I10" s="3"/>
    </row>
    <row r="11" spans="1:11" x14ac:dyDescent="0.25">
      <c r="A11" s="3"/>
      <c r="I11" s="3"/>
    </row>
    <row r="12" spans="1:11" x14ac:dyDescent="0.25">
      <c r="A12" s="3"/>
      <c r="I12" s="3"/>
    </row>
    <row r="13" spans="1:11" x14ac:dyDescent="0.25">
      <c r="A13" s="3"/>
      <c r="I13" s="3"/>
    </row>
    <row r="14" spans="1:11" x14ac:dyDescent="0.25">
      <c r="A14" s="3"/>
      <c r="I14" s="3"/>
    </row>
    <row r="15" spans="1:11" x14ac:dyDescent="0.25">
      <c r="A15" s="3"/>
      <c r="I15" s="3"/>
    </row>
    <row r="16" spans="1:11" x14ac:dyDescent="0.25">
      <c r="A16" s="3"/>
      <c r="I16" s="3"/>
    </row>
    <row r="17" spans="1:9" x14ac:dyDescent="0.25">
      <c r="A17" s="3"/>
      <c r="I17" s="3"/>
    </row>
    <row r="18" spans="1:9" x14ac:dyDescent="0.25">
      <c r="A18" s="3"/>
      <c r="I18" s="3"/>
    </row>
    <row r="19" spans="1:9" x14ac:dyDescent="0.25">
      <c r="A19" s="3"/>
      <c r="I19" s="3"/>
    </row>
    <row r="20" spans="1:9" x14ac:dyDescent="0.25">
      <c r="A20" s="3"/>
      <c r="I20" s="3"/>
    </row>
    <row r="21" spans="1:9" x14ac:dyDescent="0.25">
      <c r="A21" s="3"/>
      <c r="I21" s="3"/>
    </row>
    <row r="22" spans="1:9" x14ac:dyDescent="0.25">
      <c r="A22" s="3"/>
      <c r="I22" s="3"/>
    </row>
    <row r="23" spans="1:9" x14ac:dyDescent="0.25">
      <c r="A23" s="3"/>
      <c r="I23" s="3"/>
    </row>
    <row r="24" spans="1:9" x14ac:dyDescent="0.25">
      <c r="A24" s="3"/>
      <c r="I24" s="3"/>
    </row>
    <row r="25" spans="1:9" x14ac:dyDescent="0.25">
      <c r="A25" s="3"/>
      <c r="I25" s="3"/>
    </row>
    <row r="26" spans="1:9" x14ac:dyDescent="0.25">
      <c r="A26" s="3"/>
      <c r="I26" s="3"/>
    </row>
    <row r="27" spans="1:9" x14ac:dyDescent="0.25">
      <c r="A27" s="3"/>
      <c r="I27" s="3"/>
    </row>
    <row r="28" spans="1:9" x14ac:dyDescent="0.25">
      <c r="A28" s="3"/>
      <c r="I28" s="3"/>
    </row>
    <row r="29" spans="1:9" x14ac:dyDescent="0.25">
      <c r="A29" s="3"/>
      <c r="I29" s="3"/>
    </row>
    <row r="30" spans="1:9" x14ac:dyDescent="0.25">
      <c r="A30" s="3"/>
      <c r="I30" s="3"/>
    </row>
    <row r="31" spans="1:9" x14ac:dyDescent="0.25">
      <c r="A31" s="3"/>
      <c r="I31" s="3"/>
    </row>
    <row r="32" spans="1:9" x14ac:dyDescent="0.25">
      <c r="A32" s="3"/>
      <c r="I32" s="3"/>
    </row>
    <row r="33" spans="1:9" x14ac:dyDescent="0.25">
      <c r="A33" s="3"/>
      <c r="I33" s="3"/>
    </row>
    <row r="34" spans="1:9" x14ac:dyDescent="0.25">
      <c r="A34" s="3"/>
      <c r="I34" s="3"/>
    </row>
    <row r="35" spans="1:9" x14ac:dyDescent="0.25">
      <c r="A35" s="3"/>
      <c r="I35" s="3"/>
    </row>
    <row r="36" spans="1:9" x14ac:dyDescent="0.25">
      <c r="A36" s="3"/>
      <c r="I36" s="3"/>
    </row>
    <row r="37" spans="1:9" x14ac:dyDescent="0.25">
      <c r="A37" s="3"/>
      <c r="I37" s="3"/>
    </row>
    <row r="38" spans="1:9" x14ac:dyDescent="0.25">
      <c r="A38" s="3"/>
      <c r="I38" s="3"/>
    </row>
    <row r="39" spans="1:9" x14ac:dyDescent="0.25">
      <c r="A39" s="3"/>
      <c r="I39" s="3"/>
    </row>
    <row r="40" spans="1:9" x14ac:dyDescent="0.25">
      <c r="A40" s="3"/>
      <c r="I40" s="3"/>
    </row>
    <row r="41" spans="1:9" x14ac:dyDescent="0.25">
      <c r="A41" s="3"/>
      <c r="I41" s="3"/>
    </row>
    <row r="42" spans="1:9" x14ac:dyDescent="0.25">
      <c r="A42" s="3"/>
      <c r="I42" s="3"/>
    </row>
    <row r="43" spans="1:9" x14ac:dyDescent="0.25">
      <c r="A43" s="3"/>
      <c r="I43" s="3"/>
    </row>
    <row r="44" spans="1:9" x14ac:dyDescent="0.25">
      <c r="A44" s="3"/>
      <c r="I44" s="3"/>
    </row>
    <row r="45" spans="1:9" x14ac:dyDescent="0.25">
      <c r="A45" s="3"/>
      <c r="I45" s="3"/>
    </row>
    <row r="46" spans="1:9" x14ac:dyDescent="0.25">
      <c r="A46" s="3"/>
      <c r="I46" s="3"/>
    </row>
    <row r="47" spans="1:9" x14ac:dyDescent="0.25">
      <c r="A47" s="3"/>
      <c r="I47" s="3"/>
    </row>
    <row r="48" spans="1:9" x14ac:dyDescent="0.25">
      <c r="A48" s="3"/>
      <c r="I48" s="3"/>
    </row>
    <row r="49" spans="1:9" x14ac:dyDescent="0.25">
      <c r="A49" s="3"/>
      <c r="I49" s="3"/>
    </row>
    <row r="50" spans="1:9" x14ac:dyDescent="0.25">
      <c r="A50" s="3"/>
      <c r="I50" s="3"/>
    </row>
    <row r="51" spans="1:9" x14ac:dyDescent="0.25">
      <c r="A51" s="3"/>
      <c r="I51" s="3"/>
    </row>
    <row r="52" spans="1:9" x14ac:dyDescent="0.25">
      <c r="A52" s="3"/>
      <c r="I52" s="3"/>
    </row>
    <row r="53" spans="1:9" x14ac:dyDescent="0.25">
      <c r="A53" s="3"/>
      <c r="I53" s="3"/>
    </row>
    <row r="54" spans="1:9" x14ac:dyDescent="0.25">
      <c r="A54" s="3"/>
      <c r="I54" s="3"/>
    </row>
    <row r="55" spans="1:9" x14ac:dyDescent="0.25">
      <c r="A55" s="3"/>
      <c r="I55" s="3"/>
    </row>
    <row r="56" spans="1:9" x14ac:dyDescent="0.25">
      <c r="A56" s="3"/>
      <c r="I56" s="3"/>
    </row>
    <row r="57" spans="1:9" x14ac:dyDescent="0.25">
      <c r="A57" s="3"/>
      <c r="I57" s="3"/>
    </row>
    <row r="58" spans="1:9" x14ac:dyDescent="0.25">
      <c r="A58" s="3"/>
      <c r="I58" s="3"/>
    </row>
    <row r="59" spans="1:9" x14ac:dyDescent="0.25">
      <c r="A59" s="3"/>
      <c r="I59" s="3"/>
    </row>
    <row r="60" spans="1:9" x14ac:dyDescent="0.25">
      <c r="A60" s="3"/>
      <c r="I60" s="3"/>
    </row>
    <row r="61" spans="1:9" x14ac:dyDescent="0.25">
      <c r="A61" s="3"/>
      <c r="I61" s="3"/>
    </row>
    <row r="62" spans="1:9" x14ac:dyDescent="0.25">
      <c r="A62" s="3"/>
      <c r="I62" s="3"/>
    </row>
    <row r="63" spans="1:9" x14ac:dyDescent="0.25">
      <c r="A63" s="3"/>
      <c r="I63" s="3"/>
    </row>
    <row r="64" spans="1:9" x14ac:dyDescent="0.25">
      <c r="A64" s="3"/>
      <c r="I64" s="3"/>
    </row>
    <row r="65" spans="1:9" x14ac:dyDescent="0.25">
      <c r="A65" s="3"/>
      <c r="I65" s="3"/>
    </row>
    <row r="66" spans="1:9" x14ac:dyDescent="0.25">
      <c r="A66" s="3"/>
      <c r="I66" s="3"/>
    </row>
    <row r="67" spans="1:9" x14ac:dyDescent="0.25">
      <c r="A67" s="3"/>
      <c r="I67" s="3"/>
    </row>
    <row r="68" spans="1:9" x14ac:dyDescent="0.25">
      <c r="A68" s="3"/>
      <c r="I68" s="3"/>
    </row>
    <row r="69" spans="1:9" x14ac:dyDescent="0.25">
      <c r="A69" s="3"/>
      <c r="I69" s="3"/>
    </row>
    <row r="70" spans="1:9" x14ac:dyDescent="0.25">
      <c r="A70" s="3"/>
      <c r="I70" s="3"/>
    </row>
    <row r="71" spans="1:9" x14ac:dyDescent="0.25">
      <c r="A71" s="3"/>
      <c r="I71" s="3"/>
    </row>
    <row r="72" spans="1:9" x14ac:dyDescent="0.25">
      <c r="A72" s="3"/>
      <c r="I72" s="3"/>
    </row>
    <row r="73" spans="1:9" x14ac:dyDescent="0.25">
      <c r="A73" s="3"/>
      <c r="I73" s="3"/>
    </row>
    <row r="74" spans="1:9" x14ac:dyDescent="0.25">
      <c r="A74" s="3"/>
      <c r="I74" s="3"/>
    </row>
    <row r="75" spans="1:9" x14ac:dyDescent="0.25">
      <c r="A75" s="3"/>
      <c r="I75" s="3"/>
    </row>
    <row r="76" spans="1:9" x14ac:dyDescent="0.25">
      <c r="A76" s="3"/>
      <c r="I76" s="3"/>
    </row>
    <row r="77" spans="1:9" x14ac:dyDescent="0.25">
      <c r="A77" s="3"/>
      <c r="I77" s="3"/>
    </row>
    <row r="78" spans="1:9" x14ac:dyDescent="0.25">
      <c r="A78" s="3"/>
      <c r="I78" s="3"/>
    </row>
    <row r="79" spans="1:9" x14ac:dyDescent="0.25">
      <c r="A79" s="3"/>
      <c r="I79" s="3"/>
    </row>
    <row r="80" spans="1:9" x14ac:dyDescent="0.25">
      <c r="A80" s="3"/>
      <c r="I80" s="3"/>
    </row>
    <row r="81" spans="1:9" x14ac:dyDescent="0.25">
      <c r="A81" s="3"/>
      <c r="I81" s="3"/>
    </row>
    <row r="82" spans="1:9" x14ac:dyDescent="0.25">
      <c r="A82" s="3"/>
      <c r="I82" s="3"/>
    </row>
    <row r="83" spans="1:9" x14ac:dyDescent="0.25">
      <c r="A83" s="3"/>
      <c r="I83" s="3"/>
    </row>
    <row r="84" spans="1:9" x14ac:dyDescent="0.25">
      <c r="A84" s="3"/>
      <c r="I84" s="3"/>
    </row>
    <row r="85" spans="1:9" x14ac:dyDescent="0.25">
      <c r="A85" s="3"/>
      <c r="I85" s="3"/>
    </row>
    <row r="86" spans="1:9" x14ac:dyDescent="0.25">
      <c r="A86" s="3"/>
      <c r="I86" s="3"/>
    </row>
    <row r="87" spans="1:9" x14ac:dyDescent="0.25">
      <c r="A87" s="3"/>
      <c r="I87" s="3"/>
    </row>
    <row r="88" spans="1:9" x14ac:dyDescent="0.25">
      <c r="A88" s="3"/>
      <c r="I88" s="3"/>
    </row>
    <row r="89" spans="1:9" x14ac:dyDescent="0.25">
      <c r="A89" s="3"/>
      <c r="I89" s="3"/>
    </row>
    <row r="90" spans="1:9" x14ac:dyDescent="0.25">
      <c r="A90" s="3"/>
      <c r="I90" s="3"/>
    </row>
    <row r="91" spans="1:9" x14ac:dyDescent="0.25">
      <c r="A91" s="3"/>
      <c r="I91" s="3"/>
    </row>
    <row r="92" spans="1:9" x14ac:dyDescent="0.25">
      <c r="A92" s="3"/>
      <c r="I92" s="3"/>
    </row>
    <row r="93" spans="1:9" x14ac:dyDescent="0.25">
      <c r="A93" s="3"/>
      <c r="I93" s="3"/>
    </row>
    <row r="94" spans="1:9" x14ac:dyDescent="0.25">
      <c r="A94" s="3"/>
      <c r="I94" s="3"/>
    </row>
    <row r="95" spans="1:9" x14ac:dyDescent="0.25">
      <c r="A95" s="3"/>
      <c r="I95" s="3"/>
    </row>
    <row r="96" spans="1:9" x14ac:dyDescent="0.25">
      <c r="A96" s="3"/>
      <c r="I96" s="3"/>
    </row>
    <row r="97" spans="1:9" x14ac:dyDescent="0.25">
      <c r="A97" s="3"/>
      <c r="I97" s="3"/>
    </row>
    <row r="98" spans="1:9" x14ac:dyDescent="0.25">
      <c r="A98" s="3"/>
      <c r="I98" s="3"/>
    </row>
    <row r="99" spans="1:9" x14ac:dyDescent="0.25">
      <c r="A99" s="3"/>
      <c r="I99" s="3"/>
    </row>
    <row r="100" spans="1:9" x14ac:dyDescent="0.25">
      <c r="A100" s="3"/>
      <c r="I100" s="3"/>
    </row>
    <row r="101" spans="1:9" x14ac:dyDescent="0.25">
      <c r="A101" s="3"/>
      <c r="I101" s="3"/>
    </row>
    <row r="102" spans="1:9" x14ac:dyDescent="0.25">
      <c r="A102" s="3"/>
      <c r="I102" s="3"/>
    </row>
    <row r="103" spans="1:9" x14ac:dyDescent="0.25">
      <c r="A103" s="3"/>
      <c r="I103" s="3"/>
    </row>
    <row r="104" spans="1:9" x14ac:dyDescent="0.25">
      <c r="A104" s="3"/>
      <c r="I104" s="3"/>
    </row>
    <row r="105" spans="1:9" x14ac:dyDescent="0.25">
      <c r="A105" s="3"/>
      <c r="I105" s="3"/>
    </row>
    <row r="106" spans="1:9" x14ac:dyDescent="0.25">
      <c r="A106" s="3"/>
      <c r="I106" s="3"/>
    </row>
    <row r="107" spans="1:9" x14ac:dyDescent="0.25">
      <c r="A107" s="3"/>
      <c r="I107" s="3"/>
    </row>
    <row r="108" spans="1:9" x14ac:dyDescent="0.25">
      <c r="A108" s="3"/>
      <c r="I108" s="3"/>
    </row>
    <row r="109" spans="1:9" x14ac:dyDescent="0.25">
      <c r="A109" s="3"/>
      <c r="I109" s="3"/>
    </row>
    <row r="110" spans="1:9" x14ac:dyDescent="0.25">
      <c r="A110" s="3"/>
      <c r="I110" s="3"/>
    </row>
    <row r="111" spans="1:9" x14ac:dyDescent="0.25">
      <c r="A111" s="3"/>
      <c r="I111" s="3"/>
    </row>
    <row r="112" spans="1:9" x14ac:dyDescent="0.25">
      <c r="A112" s="3"/>
      <c r="I112" s="3"/>
    </row>
    <row r="113" spans="1:9" x14ac:dyDescent="0.25">
      <c r="A113" s="3"/>
      <c r="I113" s="3"/>
    </row>
    <row r="114" spans="1:9" x14ac:dyDescent="0.25">
      <c r="A114" s="3"/>
      <c r="I114" s="3"/>
    </row>
    <row r="115" spans="1:9" x14ac:dyDescent="0.25">
      <c r="A115" s="3"/>
      <c r="I115" s="3"/>
    </row>
    <row r="116" spans="1:9" x14ac:dyDescent="0.25">
      <c r="A116" s="3"/>
      <c r="I116" s="3"/>
    </row>
    <row r="117" spans="1:9" x14ac:dyDescent="0.25">
      <c r="A117" s="3"/>
      <c r="I117" s="3"/>
    </row>
    <row r="118" spans="1:9" x14ac:dyDescent="0.25">
      <c r="A118" s="3"/>
      <c r="I118" s="3"/>
    </row>
    <row r="119" spans="1:9" x14ac:dyDescent="0.25">
      <c r="A119" s="3"/>
      <c r="I119" s="3"/>
    </row>
    <row r="120" spans="1:9" x14ac:dyDescent="0.25">
      <c r="A120" s="3"/>
      <c r="I120" s="3"/>
    </row>
    <row r="121" spans="1:9" x14ac:dyDescent="0.25">
      <c r="A121" s="3"/>
      <c r="I121" s="3"/>
    </row>
    <row r="122" spans="1:9" x14ac:dyDescent="0.25">
      <c r="A122" s="3"/>
      <c r="I122" s="3"/>
    </row>
    <row r="123" spans="1:9" x14ac:dyDescent="0.25">
      <c r="A123" s="3"/>
      <c r="I123" s="3"/>
    </row>
    <row r="124" spans="1:9" x14ac:dyDescent="0.25">
      <c r="A124" s="3"/>
      <c r="I124" s="3"/>
    </row>
    <row r="125" spans="1:9" x14ac:dyDescent="0.25">
      <c r="A125" s="3"/>
      <c r="I125" s="3"/>
    </row>
    <row r="126" spans="1:9" x14ac:dyDescent="0.25">
      <c r="A126" s="3"/>
      <c r="I126" s="3"/>
    </row>
    <row r="127" spans="1:9" x14ac:dyDescent="0.25">
      <c r="A127" s="3"/>
      <c r="I127" s="3"/>
    </row>
    <row r="128" spans="1:9" x14ac:dyDescent="0.25">
      <c r="A128" s="3"/>
      <c r="I128" s="3"/>
    </row>
    <row r="129" spans="1:9" x14ac:dyDescent="0.25">
      <c r="A129" s="3"/>
      <c r="I129" s="3"/>
    </row>
    <row r="130" spans="1:9" x14ac:dyDescent="0.25">
      <c r="A130" s="3"/>
      <c r="I130" s="3"/>
    </row>
    <row r="131" spans="1:9" x14ac:dyDescent="0.25">
      <c r="A131" s="3"/>
      <c r="I131" s="3"/>
    </row>
    <row r="132" spans="1:9" x14ac:dyDescent="0.25">
      <c r="A132" s="3"/>
      <c r="I132" s="3"/>
    </row>
    <row r="133" spans="1:9" x14ac:dyDescent="0.25">
      <c r="A133" s="3"/>
      <c r="I133" s="3"/>
    </row>
    <row r="134" spans="1:9" x14ac:dyDescent="0.25">
      <c r="A134" s="3"/>
      <c r="I134" s="3"/>
    </row>
    <row r="135" spans="1:9" x14ac:dyDescent="0.25">
      <c r="A135" s="3"/>
      <c r="I135" s="3"/>
    </row>
    <row r="136" spans="1:9" x14ac:dyDescent="0.25">
      <c r="A136" s="3"/>
      <c r="I136" s="3"/>
    </row>
    <row r="137" spans="1:9" x14ac:dyDescent="0.25">
      <c r="A137" s="3"/>
      <c r="I137" s="3"/>
    </row>
    <row r="138" spans="1:9" x14ac:dyDescent="0.25">
      <c r="A138" s="3"/>
      <c r="I138" s="3"/>
    </row>
    <row r="139" spans="1:9" x14ac:dyDescent="0.25">
      <c r="A139" s="3"/>
      <c r="I139" s="3"/>
    </row>
    <row r="140" spans="1:9" x14ac:dyDescent="0.25">
      <c r="A140" s="3"/>
      <c r="I140" s="3"/>
    </row>
    <row r="141" spans="1:9" x14ac:dyDescent="0.25">
      <c r="A141" s="3"/>
      <c r="I141" s="3"/>
    </row>
    <row r="142" spans="1:9" x14ac:dyDescent="0.25">
      <c r="A142" s="3"/>
      <c r="I142" s="3"/>
    </row>
    <row r="143" spans="1:9" x14ac:dyDescent="0.25">
      <c r="A143" s="3"/>
      <c r="I143" s="3"/>
    </row>
    <row r="144" spans="1:9" x14ac:dyDescent="0.25">
      <c r="A144" s="3"/>
      <c r="I144" s="3"/>
    </row>
    <row r="145" spans="1:9" x14ac:dyDescent="0.25">
      <c r="A145" s="3"/>
      <c r="I145" s="3"/>
    </row>
    <row r="146" spans="1:9" x14ac:dyDescent="0.25">
      <c r="A146" s="3"/>
      <c r="I146" s="3"/>
    </row>
    <row r="147" spans="1:9" x14ac:dyDescent="0.25">
      <c r="A147" s="3"/>
      <c r="I147" s="3"/>
    </row>
    <row r="148" spans="1:9" x14ac:dyDescent="0.25">
      <c r="A148" s="3"/>
      <c r="I148" s="3"/>
    </row>
    <row r="149" spans="1:9" x14ac:dyDescent="0.25">
      <c r="A149" s="3"/>
      <c r="I149" s="3"/>
    </row>
    <row r="150" spans="1:9" x14ac:dyDescent="0.25">
      <c r="A150" s="3"/>
      <c r="I150" s="3"/>
    </row>
    <row r="151" spans="1:9" x14ac:dyDescent="0.25">
      <c r="A151" s="3"/>
      <c r="I151" s="3"/>
    </row>
    <row r="152" spans="1:9" x14ac:dyDescent="0.25">
      <c r="A152" s="3"/>
      <c r="I152" s="3"/>
    </row>
    <row r="153" spans="1:9" x14ac:dyDescent="0.25">
      <c r="A153" s="3"/>
      <c r="I153" s="3"/>
    </row>
    <row r="154" spans="1:9" x14ac:dyDescent="0.25">
      <c r="A154" s="3"/>
      <c r="I154" s="3"/>
    </row>
    <row r="155" spans="1:9" x14ac:dyDescent="0.25">
      <c r="A155" s="3"/>
      <c r="I155" s="3"/>
    </row>
    <row r="156" spans="1:9" x14ac:dyDescent="0.25">
      <c r="A156" s="3"/>
      <c r="I156" s="3"/>
    </row>
    <row r="157" spans="1:9" x14ac:dyDescent="0.25">
      <c r="A157" s="3"/>
      <c r="I157" s="3"/>
    </row>
    <row r="158" spans="1:9" x14ac:dyDescent="0.25">
      <c r="A158" s="3"/>
      <c r="I158" s="3"/>
    </row>
    <row r="159" spans="1:9" x14ac:dyDescent="0.25">
      <c r="A159" s="3"/>
      <c r="I159" s="3"/>
    </row>
    <row r="160" spans="1:9" x14ac:dyDescent="0.25">
      <c r="A160" s="3"/>
      <c r="I160" s="3"/>
    </row>
    <row r="161" spans="1:9" x14ac:dyDescent="0.25">
      <c r="A161" s="3"/>
      <c r="I161" s="3"/>
    </row>
    <row r="162" spans="1:9" x14ac:dyDescent="0.25">
      <c r="A162" s="3"/>
      <c r="I162" s="3"/>
    </row>
    <row r="163" spans="1:9" x14ac:dyDescent="0.25">
      <c r="A163" s="3"/>
      <c r="I163" s="3"/>
    </row>
    <row r="164" spans="1:9" x14ac:dyDescent="0.25">
      <c r="A164" s="3"/>
      <c r="I164" s="3"/>
    </row>
    <row r="165" spans="1:9" x14ac:dyDescent="0.25">
      <c r="A165" s="3"/>
      <c r="I165" s="3"/>
    </row>
    <row r="166" spans="1:9" x14ac:dyDescent="0.25">
      <c r="A166" s="3"/>
      <c r="I166" s="3"/>
    </row>
    <row r="167" spans="1:9" x14ac:dyDescent="0.25">
      <c r="A167" s="3"/>
      <c r="I167" s="3"/>
    </row>
    <row r="168" spans="1:9" x14ac:dyDescent="0.25">
      <c r="A168" s="3"/>
      <c r="I168" s="3"/>
    </row>
    <row r="169" spans="1:9" x14ac:dyDescent="0.25">
      <c r="A169" s="3"/>
      <c r="I169" s="3"/>
    </row>
    <row r="170" spans="1:9" x14ac:dyDescent="0.25">
      <c r="A170" s="3"/>
      <c r="I170" s="3"/>
    </row>
    <row r="171" spans="1:9" x14ac:dyDescent="0.25">
      <c r="A171" s="3"/>
      <c r="I171" s="3"/>
    </row>
    <row r="172" spans="1:9" x14ac:dyDescent="0.25">
      <c r="A172" s="3"/>
      <c r="I172" s="3"/>
    </row>
    <row r="173" spans="1:9" x14ac:dyDescent="0.25">
      <c r="A173" s="3"/>
      <c r="I173" s="3"/>
    </row>
    <row r="174" spans="1:9" x14ac:dyDescent="0.25">
      <c r="A174" s="3"/>
      <c r="I174" s="3"/>
    </row>
    <row r="175" spans="1:9" x14ac:dyDescent="0.25">
      <c r="A175" s="3"/>
      <c r="I175" s="3"/>
    </row>
    <row r="176" spans="1:9" x14ac:dyDescent="0.25">
      <c r="A176" s="3"/>
      <c r="I176" s="3"/>
    </row>
    <row r="177" spans="1:9" x14ac:dyDescent="0.25">
      <c r="A177" s="3"/>
      <c r="I177" s="3"/>
    </row>
    <row r="178" spans="1:9" x14ac:dyDescent="0.25">
      <c r="A178" s="3"/>
      <c r="I178" s="3"/>
    </row>
    <row r="179" spans="1:9" x14ac:dyDescent="0.25">
      <c r="A179" s="3"/>
      <c r="I179" s="3"/>
    </row>
    <row r="180" spans="1:9" x14ac:dyDescent="0.25">
      <c r="A180" s="3"/>
      <c r="I180" s="3"/>
    </row>
    <row r="181" spans="1:9" x14ac:dyDescent="0.25">
      <c r="A181" s="3"/>
      <c r="I181" s="3"/>
    </row>
    <row r="182" spans="1:9" x14ac:dyDescent="0.25">
      <c r="A182" s="3"/>
      <c r="I182" s="3"/>
    </row>
    <row r="183" spans="1:9" x14ac:dyDescent="0.25">
      <c r="A183" s="3"/>
      <c r="I183" s="3"/>
    </row>
    <row r="184" spans="1:9" x14ac:dyDescent="0.25">
      <c r="A184" s="3"/>
      <c r="I184" s="3"/>
    </row>
    <row r="185" spans="1:9" x14ac:dyDescent="0.25">
      <c r="A185" s="3"/>
      <c r="I185" s="3"/>
    </row>
    <row r="186" spans="1:9" x14ac:dyDescent="0.25">
      <c r="A186" s="3"/>
      <c r="I186" s="3"/>
    </row>
    <row r="187" spans="1:9" x14ac:dyDescent="0.25">
      <c r="A187" s="3"/>
      <c r="I187" s="3"/>
    </row>
    <row r="188" spans="1:9" x14ac:dyDescent="0.25">
      <c r="A188" s="3"/>
      <c r="I188" s="3"/>
    </row>
    <row r="189" spans="1:9" x14ac:dyDescent="0.25">
      <c r="A189" s="3"/>
      <c r="I189" s="3"/>
    </row>
    <row r="190" spans="1:9" x14ac:dyDescent="0.25">
      <c r="A190" s="3"/>
      <c r="I190" s="3"/>
    </row>
    <row r="191" spans="1:9" x14ac:dyDescent="0.25">
      <c r="A191" s="3"/>
      <c r="I191" s="3"/>
    </row>
    <row r="192" spans="1:9" x14ac:dyDescent="0.25">
      <c r="A192" s="3"/>
      <c r="I192" s="3"/>
    </row>
    <row r="193" spans="1:9" x14ac:dyDescent="0.25">
      <c r="A193" s="3"/>
      <c r="I193" s="3"/>
    </row>
    <row r="194" spans="1:9" x14ac:dyDescent="0.25">
      <c r="A194" s="3"/>
      <c r="I194" s="3"/>
    </row>
    <row r="195" spans="1:9" x14ac:dyDescent="0.25">
      <c r="A195" s="3"/>
      <c r="I195" s="3"/>
    </row>
    <row r="196" spans="1:9" x14ac:dyDescent="0.25">
      <c r="A196" s="3"/>
      <c r="I196" s="3"/>
    </row>
    <row r="197" spans="1:9" x14ac:dyDescent="0.25">
      <c r="A197" s="3"/>
      <c r="I197" s="3"/>
    </row>
    <row r="198" spans="1:9" x14ac:dyDescent="0.25">
      <c r="A198" s="3"/>
      <c r="I198" s="3"/>
    </row>
    <row r="199" spans="1:9" x14ac:dyDescent="0.25">
      <c r="A199" s="3"/>
      <c r="I199" s="3"/>
    </row>
    <row r="200" spans="1:9" x14ac:dyDescent="0.25">
      <c r="A200" s="3"/>
      <c r="I200" s="3"/>
    </row>
    <row r="201" spans="1:9" x14ac:dyDescent="0.25">
      <c r="A201" s="3"/>
      <c r="I201" s="3"/>
    </row>
    <row r="202" spans="1:9" x14ac:dyDescent="0.25">
      <c r="A202" s="3"/>
      <c r="I202" s="3"/>
    </row>
    <row r="203" spans="1:9" x14ac:dyDescent="0.25">
      <c r="A203" s="3"/>
      <c r="I203" s="3"/>
    </row>
    <row r="204" spans="1:9" x14ac:dyDescent="0.25">
      <c r="A204" s="3"/>
      <c r="I204" s="3"/>
    </row>
    <row r="205" spans="1:9" x14ac:dyDescent="0.25">
      <c r="A205" s="3"/>
      <c r="I205" s="3"/>
    </row>
    <row r="206" spans="1:9" x14ac:dyDescent="0.25">
      <c r="A206" s="3"/>
      <c r="I206" s="3"/>
    </row>
    <row r="207" spans="1:9" x14ac:dyDescent="0.25">
      <c r="A207" s="3"/>
      <c r="I207" s="3"/>
    </row>
    <row r="208" spans="1:9" x14ac:dyDescent="0.25">
      <c r="A208" s="3"/>
      <c r="I208" s="3"/>
    </row>
    <row r="209" spans="1:9" x14ac:dyDescent="0.25">
      <c r="A209" s="3"/>
      <c r="I209" s="3"/>
    </row>
    <row r="210" spans="1:9" x14ac:dyDescent="0.25">
      <c r="A210" s="3"/>
      <c r="I210" s="3"/>
    </row>
    <row r="211" spans="1:9" x14ac:dyDescent="0.25">
      <c r="A211" s="3"/>
      <c r="I211" s="3"/>
    </row>
    <row r="212" spans="1:9" x14ac:dyDescent="0.25">
      <c r="A212" s="3"/>
      <c r="I212" s="3"/>
    </row>
    <row r="213" spans="1:9" x14ac:dyDescent="0.25">
      <c r="A213" s="3"/>
      <c r="I213" s="3"/>
    </row>
    <row r="214" spans="1:9" x14ac:dyDescent="0.25">
      <c r="A214" s="3"/>
      <c r="I214" s="3"/>
    </row>
    <row r="215" spans="1:9" x14ac:dyDescent="0.25">
      <c r="A215" s="3"/>
      <c r="I215" s="3"/>
    </row>
    <row r="216" spans="1:9" x14ac:dyDescent="0.25">
      <c r="A216" s="3"/>
      <c r="I216" s="3"/>
    </row>
    <row r="217" spans="1:9" x14ac:dyDescent="0.25">
      <c r="A217" s="3"/>
      <c r="I217" s="3"/>
    </row>
    <row r="218" spans="1:9" x14ac:dyDescent="0.25">
      <c r="A218" s="3"/>
      <c r="I218" s="3"/>
    </row>
    <row r="219" spans="1:9" x14ac:dyDescent="0.25">
      <c r="A219" s="3"/>
      <c r="I219" s="3"/>
    </row>
    <row r="220" spans="1:9" x14ac:dyDescent="0.25">
      <c r="A220" s="3"/>
      <c r="I220" s="3"/>
    </row>
    <row r="221" spans="1:9" x14ac:dyDescent="0.25">
      <c r="A221" s="3"/>
      <c r="I221" s="3"/>
    </row>
    <row r="222" spans="1:9" x14ac:dyDescent="0.25">
      <c r="A222" s="3"/>
      <c r="I222" s="3"/>
    </row>
    <row r="223" spans="1:9" x14ac:dyDescent="0.25">
      <c r="A223" s="3"/>
      <c r="I223" s="3"/>
    </row>
    <row r="224" spans="1:9" x14ac:dyDescent="0.25">
      <c r="A224" s="3"/>
      <c r="I224" s="3"/>
    </row>
    <row r="225" spans="1:9" x14ac:dyDescent="0.25">
      <c r="A225" s="3"/>
      <c r="I225" s="3"/>
    </row>
    <row r="226" spans="1:9" x14ac:dyDescent="0.25">
      <c r="A226" s="3"/>
      <c r="I226" s="3"/>
    </row>
    <row r="227" spans="1:9" x14ac:dyDescent="0.25">
      <c r="A227" s="3"/>
      <c r="I227" s="3"/>
    </row>
    <row r="228" spans="1:9" x14ac:dyDescent="0.25">
      <c r="A228" s="3"/>
      <c r="I228" s="3"/>
    </row>
    <row r="229" spans="1:9" x14ac:dyDescent="0.25">
      <c r="A229" s="3"/>
      <c r="I229" s="3"/>
    </row>
    <row r="230" spans="1:9" x14ac:dyDescent="0.25">
      <c r="A230" s="3"/>
      <c r="I230" s="3"/>
    </row>
    <row r="231" spans="1:9" x14ac:dyDescent="0.25">
      <c r="A231" s="3"/>
      <c r="I231" s="3"/>
    </row>
    <row r="232" spans="1:9" x14ac:dyDescent="0.25">
      <c r="A232" s="3"/>
      <c r="I232" s="3"/>
    </row>
    <row r="233" spans="1:9" x14ac:dyDescent="0.25">
      <c r="A233" s="3"/>
      <c r="I233" s="3"/>
    </row>
    <row r="234" spans="1:9" x14ac:dyDescent="0.25">
      <c r="A234" s="3"/>
      <c r="I234" s="3"/>
    </row>
    <row r="235" spans="1:9" x14ac:dyDescent="0.25">
      <c r="A235" s="3"/>
      <c r="I235" s="3"/>
    </row>
    <row r="236" spans="1:9" x14ac:dyDescent="0.25">
      <c r="A236" s="3"/>
      <c r="I236" s="3"/>
    </row>
    <row r="237" spans="1:9" x14ac:dyDescent="0.25">
      <c r="A237" s="3"/>
      <c r="I237" s="3"/>
    </row>
    <row r="238" spans="1:9" x14ac:dyDescent="0.25">
      <c r="A238" s="3"/>
      <c r="I238" s="3"/>
    </row>
    <row r="239" spans="1:9" x14ac:dyDescent="0.25">
      <c r="A239" s="3"/>
      <c r="I239" s="3"/>
    </row>
    <row r="240" spans="1:9" x14ac:dyDescent="0.25">
      <c r="A240" s="3"/>
      <c r="I240" s="3"/>
    </row>
    <row r="241" spans="1:9" x14ac:dyDescent="0.25">
      <c r="A241" s="3"/>
      <c r="I241" s="3"/>
    </row>
    <row r="242" spans="1:9" x14ac:dyDescent="0.25">
      <c r="A242" s="3"/>
      <c r="I242" s="3"/>
    </row>
    <row r="243" spans="1:9" x14ac:dyDescent="0.25">
      <c r="A243" s="3"/>
      <c r="I243" s="3"/>
    </row>
    <row r="244" spans="1:9" x14ac:dyDescent="0.25">
      <c r="A244" s="3"/>
      <c r="I244" s="3"/>
    </row>
    <row r="245" spans="1:9" x14ac:dyDescent="0.25">
      <c r="A245" s="3"/>
      <c r="I245" s="3"/>
    </row>
    <row r="246" spans="1:9" x14ac:dyDescent="0.25">
      <c r="A246" s="3"/>
      <c r="I246" s="3"/>
    </row>
    <row r="247" spans="1:9" x14ac:dyDescent="0.25">
      <c r="A247" s="3"/>
      <c r="I247" s="3"/>
    </row>
    <row r="248" spans="1:9" x14ac:dyDescent="0.25">
      <c r="A248" s="3"/>
      <c r="I248" s="3"/>
    </row>
    <row r="249" spans="1:9" x14ac:dyDescent="0.25">
      <c r="A249" s="3"/>
      <c r="I249" s="3"/>
    </row>
    <row r="250" spans="1:9" x14ac:dyDescent="0.25">
      <c r="A250" s="3"/>
      <c r="I250" s="3"/>
    </row>
    <row r="251" spans="1:9" x14ac:dyDescent="0.25">
      <c r="A251" s="3"/>
      <c r="I251" s="3"/>
    </row>
    <row r="252" spans="1:9" x14ac:dyDescent="0.25">
      <c r="A252" s="3"/>
      <c r="I252" s="3"/>
    </row>
    <row r="253" spans="1:9" x14ac:dyDescent="0.25">
      <c r="A253" s="3"/>
      <c r="I253" s="3"/>
    </row>
    <row r="254" spans="1:9" x14ac:dyDescent="0.25">
      <c r="A254" s="3"/>
      <c r="I254" s="3"/>
    </row>
    <row r="255" spans="1:9" x14ac:dyDescent="0.25">
      <c r="A255" s="3"/>
      <c r="I255" s="3"/>
    </row>
    <row r="256" spans="1:9" x14ac:dyDescent="0.25">
      <c r="A256" s="3"/>
      <c r="I256" s="3"/>
    </row>
    <row r="257" spans="1:9" x14ac:dyDescent="0.25">
      <c r="A257" s="3"/>
      <c r="I257" s="3"/>
    </row>
    <row r="258" spans="1:9" x14ac:dyDescent="0.25">
      <c r="A258" s="3"/>
      <c r="I258" s="3"/>
    </row>
    <row r="259" spans="1:9" x14ac:dyDescent="0.25">
      <c r="A259" s="3"/>
      <c r="I259" s="3"/>
    </row>
    <row r="260" spans="1:9" x14ac:dyDescent="0.25">
      <c r="A260" s="3"/>
      <c r="I260" s="3"/>
    </row>
    <row r="261" spans="1:9" x14ac:dyDescent="0.25">
      <c r="A261" s="3"/>
      <c r="I261" s="3"/>
    </row>
    <row r="262" spans="1:9" x14ac:dyDescent="0.25">
      <c r="A262" s="3"/>
      <c r="I262" s="3"/>
    </row>
    <row r="263" spans="1:9" x14ac:dyDescent="0.25">
      <c r="A263" s="3"/>
      <c r="I263" s="3"/>
    </row>
    <row r="264" spans="1:9" x14ac:dyDescent="0.25">
      <c r="A264" s="3"/>
      <c r="I264" s="3"/>
    </row>
    <row r="265" spans="1:9" x14ac:dyDescent="0.25">
      <c r="A265" s="3"/>
      <c r="I265" s="3"/>
    </row>
    <row r="266" spans="1:9" x14ac:dyDescent="0.25">
      <c r="A266" s="3"/>
      <c r="I266" s="3"/>
    </row>
    <row r="267" spans="1:9" x14ac:dyDescent="0.25">
      <c r="A267" s="3"/>
      <c r="I267" s="3"/>
    </row>
    <row r="268" spans="1:9" x14ac:dyDescent="0.25">
      <c r="A268" s="3"/>
      <c r="I268" s="3"/>
    </row>
    <row r="269" spans="1:9" x14ac:dyDescent="0.25">
      <c r="A269" s="3"/>
      <c r="I269" s="3"/>
    </row>
    <row r="270" spans="1:9" x14ac:dyDescent="0.25">
      <c r="A270" s="3"/>
      <c r="I270" s="3"/>
    </row>
    <row r="271" spans="1:9" x14ac:dyDescent="0.25">
      <c r="A271" s="3"/>
      <c r="I271" s="3"/>
    </row>
    <row r="272" spans="1:9" x14ac:dyDescent="0.25">
      <c r="A272" s="3"/>
      <c r="I272" s="3"/>
    </row>
    <row r="273" spans="1:9" x14ac:dyDescent="0.25">
      <c r="A273" s="3"/>
      <c r="I273" s="3"/>
    </row>
    <row r="274" spans="1:9" x14ac:dyDescent="0.25">
      <c r="A274" s="3"/>
      <c r="I274" s="3"/>
    </row>
    <row r="275" spans="1:9" x14ac:dyDescent="0.25">
      <c r="A275" s="3"/>
      <c r="I275" s="3"/>
    </row>
    <row r="276" spans="1:9" x14ac:dyDescent="0.25">
      <c r="A276" s="3"/>
      <c r="I276" s="3"/>
    </row>
    <row r="277" spans="1:9" x14ac:dyDescent="0.25">
      <c r="A277" s="3"/>
      <c r="I277" s="3"/>
    </row>
    <row r="278" spans="1:9" x14ac:dyDescent="0.25">
      <c r="A278" s="3"/>
      <c r="I278" s="3"/>
    </row>
    <row r="279" spans="1:9" x14ac:dyDescent="0.25">
      <c r="A279" s="3"/>
      <c r="I279" s="3"/>
    </row>
    <row r="280" spans="1:9" x14ac:dyDescent="0.25">
      <c r="A280" s="3"/>
      <c r="I280" s="3"/>
    </row>
    <row r="281" spans="1:9" x14ac:dyDescent="0.25">
      <c r="A281" s="3"/>
      <c r="I281" s="3"/>
    </row>
    <row r="282" spans="1:9" x14ac:dyDescent="0.25">
      <c r="A282" s="3"/>
      <c r="I282" s="3"/>
    </row>
    <row r="283" spans="1:9" x14ac:dyDescent="0.25">
      <c r="A283" s="3"/>
      <c r="I283" s="3"/>
    </row>
    <row r="284" spans="1:9" x14ac:dyDescent="0.25">
      <c r="A284" s="3"/>
      <c r="I284" s="3"/>
    </row>
    <row r="285" spans="1:9" x14ac:dyDescent="0.25">
      <c r="A285" s="3"/>
      <c r="I285" s="3"/>
    </row>
    <row r="286" spans="1:9" x14ac:dyDescent="0.25">
      <c r="A286" s="3"/>
      <c r="I286" s="3"/>
    </row>
    <row r="287" spans="1:9" x14ac:dyDescent="0.25">
      <c r="A287" s="3"/>
      <c r="I287" s="3"/>
    </row>
    <row r="288" spans="1:9" x14ac:dyDescent="0.25">
      <c r="A288" s="3"/>
      <c r="I288" s="3"/>
    </row>
    <row r="289" spans="1:9" x14ac:dyDescent="0.25">
      <c r="A289" s="3"/>
      <c r="I289" s="3"/>
    </row>
    <row r="290" spans="1:9" x14ac:dyDescent="0.25">
      <c r="A290" s="3"/>
      <c r="I290" s="3"/>
    </row>
    <row r="291" spans="1:9" x14ac:dyDescent="0.25">
      <c r="A291" s="3"/>
      <c r="I291" s="3"/>
    </row>
    <row r="292" spans="1:9" x14ac:dyDescent="0.25">
      <c r="A292" s="3"/>
      <c r="I292" s="3"/>
    </row>
    <row r="293" spans="1:9" x14ac:dyDescent="0.25">
      <c r="A293" s="3"/>
      <c r="I293" s="3"/>
    </row>
    <row r="294" spans="1:9" x14ac:dyDescent="0.25">
      <c r="A294" s="3"/>
      <c r="I294" s="3"/>
    </row>
    <row r="295" spans="1:9" x14ac:dyDescent="0.25">
      <c r="A295" s="3"/>
      <c r="I295" s="3"/>
    </row>
    <row r="296" spans="1:9" x14ac:dyDescent="0.25">
      <c r="A296" s="3"/>
      <c r="I296" s="3"/>
    </row>
    <row r="297" spans="1:9" x14ac:dyDescent="0.25">
      <c r="A297" s="3"/>
      <c r="I297" s="3"/>
    </row>
    <row r="298" spans="1:9" x14ac:dyDescent="0.25">
      <c r="A298" s="3"/>
      <c r="I298" s="3"/>
    </row>
    <row r="299" spans="1:9" x14ac:dyDescent="0.25">
      <c r="A299" s="3"/>
      <c r="I299" s="3"/>
    </row>
    <row r="300" spans="1:9" x14ac:dyDescent="0.25">
      <c r="A300" s="3"/>
      <c r="I300" s="3"/>
    </row>
    <row r="301" spans="1:9" x14ac:dyDescent="0.25">
      <c r="A301" s="3"/>
      <c r="I301" s="3"/>
    </row>
    <row r="302" spans="1:9" x14ac:dyDescent="0.25">
      <c r="A302" s="3"/>
      <c r="I302" s="3"/>
    </row>
    <row r="303" spans="1:9" x14ac:dyDescent="0.25">
      <c r="A303" s="3"/>
      <c r="I303" s="3"/>
    </row>
    <row r="304" spans="1:9" x14ac:dyDescent="0.25">
      <c r="A304" s="3"/>
      <c r="I304" s="3"/>
    </row>
    <row r="305" spans="1:9" x14ac:dyDescent="0.25">
      <c r="A305" s="3"/>
      <c r="I305" s="3"/>
    </row>
    <row r="306" spans="1:9" x14ac:dyDescent="0.25">
      <c r="A306" s="3"/>
      <c r="I306" s="3"/>
    </row>
    <row r="307" spans="1:9" x14ac:dyDescent="0.25">
      <c r="A307" s="3"/>
      <c r="I307" s="3"/>
    </row>
    <row r="308" spans="1:9" x14ac:dyDescent="0.25">
      <c r="A308" s="3"/>
      <c r="I308" s="3"/>
    </row>
    <row r="309" spans="1:9" x14ac:dyDescent="0.25">
      <c r="A309" s="3"/>
      <c r="I309" s="3"/>
    </row>
    <row r="310" spans="1:9" x14ac:dyDescent="0.25">
      <c r="A310" s="3"/>
      <c r="I310" s="3"/>
    </row>
    <row r="311" spans="1:9" x14ac:dyDescent="0.25">
      <c r="A311" s="3"/>
      <c r="I311" s="3"/>
    </row>
    <row r="312" spans="1:9" x14ac:dyDescent="0.25">
      <c r="A312" s="3"/>
      <c r="I312" s="3"/>
    </row>
    <row r="313" spans="1:9" x14ac:dyDescent="0.25">
      <c r="A313" s="3"/>
      <c r="I313" s="3"/>
    </row>
    <row r="314" spans="1:9" x14ac:dyDescent="0.25">
      <c r="A314" s="3"/>
      <c r="I314" s="3"/>
    </row>
    <row r="315" spans="1:9" x14ac:dyDescent="0.25">
      <c r="A315" s="3"/>
      <c r="I315" s="3"/>
    </row>
    <row r="316" spans="1:9" x14ac:dyDescent="0.25">
      <c r="A316" s="3"/>
      <c r="I316" s="3"/>
    </row>
    <row r="317" spans="1:9" x14ac:dyDescent="0.25">
      <c r="A317" s="3"/>
      <c r="I317" s="3"/>
    </row>
    <row r="318" spans="1:9" x14ac:dyDescent="0.25">
      <c r="A318" s="3"/>
      <c r="I318" s="3"/>
    </row>
    <row r="319" spans="1:9" x14ac:dyDescent="0.25">
      <c r="A319" s="3"/>
      <c r="I319" s="3"/>
    </row>
    <row r="320" spans="1:9" x14ac:dyDescent="0.25">
      <c r="A320" s="3"/>
      <c r="I320" s="3"/>
    </row>
    <row r="321" spans="1:9" x14ac:dyDescent="0.25">
      <c r="A321" s="3"/>
      <c r="I321" s="3"/>
    </row>
    <row r="322" spans="1:9" x14ac:dyDescent="0.25">
      <c r="A322" s="3"/>
      <c r="I322" s="3"/>
    </row>
    <row r="323" spans="1:9" x14ac:dyDescent="0.25">
      <c r="A323" s="3"/>
      <c r="I323" s="3"/>
    </row>
    <row r="324" spans="1:9" x14ac:dyDescent="0.25">
      <c r="A324" s="3"/>
      <c r="I324" s="3"/>
    </row>
    <row r="325" spans="1:9" x14ac:dyDescent="0.25">
      <c r="A325" s="3"/>
      <c r="I325" s="3"/>
    </row>
    <row r="326" spans="1:9" x14ac:dyDescent="0.25">
      <c r="A326" s="3"/>
      <c r="I326" s="3"/>
    </row>
    <row r="327" spans="1:9" x14ac:dyDescent="0.25">
      <c r="A327" s="3"/>
      <c r="I327" s="3"/>
    </row>
    <row r="328" spans="1:9" x14ac:dyDescent="0.25">
      <c r="A328" s="3"/>
      <c r="I328" s="3"/>
    </row>
    <row r="329" spans="1:9" x14ac:dyDescent="0.25">
      <c r="A329" s="3"/>
      <c r="I329" s="3"/>
    </row>
    <row r="330" spans="1:9" x14ac:dyDescent="0.25">
      <c r="A330" s="3"/>
      <c r="I330" s="3"/>
    </row>
    <row r="331" spans="1:9" x14ac:dyDescent="0.25">
      <c r="A331" s="3"/>
      <c r="I331" s="3"/>
    </row>
    <row r="332" spans="1:9" x14ac:dyDescent="0.25">
      <c r="A332" s="3"/>
      <c r="I332" s="3"/>
    </row>
    <row r="333" spans="1:9" x14ac:dyDescent="0.25">
      <c r="A333" s="3"/>
      <c r="I333" s="3"/>
    </row>
    <row r="334" spans="1:9" x14ac:dyDescent="0.25">
      <c r="A334" s="3"/>
      <c r="I334" s="3"/>
    </row>
    <row r="335" spans="1:9" x14ac:dyDescent="0.25">
      <c r="A335" s="3"/>
      <c r="I335" s="3"/>
    </row>
    <row r="336" spans="1:9" x14ac:dyDescent="0.25">
      <c r="A336" s="3"/>
      <c r="I336" s="3"/>
    </row>
    <row r="337" spans="1:9" x14ac:dyDescent="0.25">
      <c r="A337" s="3"/>
      <c r="I337" s="3"/>
    </row>
    <row r="338" spans="1:9" x14ac:dyDescent="0.25">
      <c r="A338" s="3"/>
      <c r="I338" s="3"/>
    </row>
    <row r="339" spans="1:9" x14ac:dyDescent="0.25">
      <c r="A339" s="3"/>
      <c r="I339" s="3"/>
    </row>
    <row r="340" spans="1:9" x14ac:dyDescent="0.25">
      <c r="A340" s="3"/>
      <c r="I340" s="3"/>
    </row>
    <row r="341" spans="1:9" x14ac:dyDescent="0.25">
      <c r="A341" s="3"/>
      <c r="I341" s="3"/>
    </row>
    <row r="342" spans="1:9" x14ac:dyDescent="0.25">
      <c r="A342" s="3"/>
      <c r="I342" s="3"/>
    </row>
    <row r="343" spans="1:9" x14ac:dyDescent="0.25">
      <c r="A343" s="3"/>
      <c r="I343" s="3"/>
    </row>
    <row r="344" spans="1:9" x14ac:dyDescent="0.25">
      <c r="A344" s="3"/>
      <c r="I344" s="3"/>
    </row>
    <row r="345" spans="1:9" x14ac:dyDescent="0.25">
      <c r="A345" s="3"/>
      <c r="I345" s="3"/>
    </row>
    <row r="346" spans="1:9" x14ac:dyDescent="0.25">
      <c r="A346" s="3"/>
      <c r="I346" s="3"/>
    </row>
    <row r="347" spans="1:9" x14ac:dyDescent="0.25">
      <c r="A347" s="3"/>
      <c r="I347" s="3"/>
    </row>
    <row r="348" spans="1:9" x14ac:dyDescent="0.25">
      <c r="A348" s="3"/>
      <c r="I348" s="3"/>
    </row>
    <row r="349" spans="1:9" x14ac:dyDescent="0.25">
      <c r="A349" s="3"/>
      <c r="I349" s="3"/>
    </row>
    <row r="350" spans="1:9" x14ac:dyDescent="0.25">
      <c r="A350" s="3"/>
      <c r="I350" s="3"/>
    </row>
    <row r="351" spans="1:9" x14ac:dyDescent="0.25">
      <c r="A351" s="3"/>
      <c r="I351" s="3"/>
    </row>
    <row r="352" spans="1:9" x14ac:dyDescent="0.25">
      <c r="A352" s="3"/>
      <c r="I352" s="3"/>
    </row>
    <row r="353" spans="1:9" x14ac:dyDescent="0.25">
      <c r="A353" s="3"/>
      <c r="I353" s="3"/>
    </row>
    <row r="354" spans="1:9" x14ac:dyDescent="0.25">
      <c r="A354" s="3"/>
      <c r="I354" s="3"/>
    </row>
    <row r="355" spans="1:9" x14ac:dyDescent="0.25">
      <c r="A355" s="3"/>
      <c r="I355" s="3"/>
    </row>
    <row r="356" spans="1:9" x14ac:dyDescent="0.25">
      <c r="A356" s="3"/>
      <c r="I356" s="3"/>
    </row>
    <row r="357" spans="1:9" x14ac:dyDescent="0.25">
      <c r="A357" s="3"/>
      <c r="I357" s="3"/>
    </row>
    <row r="358" spans="1:9" x14ac:dyDescent="0.25">
      <c r="A358" s="3"/>
      <c r="I358" s="3"/>
    </row>
    <row r="359" spans="1:9" x14ac:dyDescent="0.25">
      <c r="A359" s="3"/>
      <c r="I359" s="3"/>
    </row>
    <row r="360" spans="1:9" x14ac:dyDescent="0.25">
      <c r="A360" s="3"/>
      <c r="I360" s="3"/>
    </row>
    <row r="361" spans="1:9" x14ac:dyDescent="0.25">
      <c r="A361" s="3"/>
      <c r="I361" s="3"/>
    </row>
    <row r="362" spans="1:9" x14ac:dyDescent="0.25">
      <c r="A362" s="3"/>
      <c r="I362" s="3"/>
    </row>
    <row r="363" spans="1:9" x14ac:dyDescent="0.25">
      <c r="A363" s="3"/>
      <c r="I363" s="3"/>
    </row>
    <row r="364" spans="1:9" x14ac:dyDescent="0.25">
      <c r="A364" s="3"/>
      <c r="I364" s="3"/>
    </row>
    <row r="365" spans="1:9" x14ac:dyDescent="0.25">
      <c r="A365" s="3"/>
      <c r="I365" s="3"/>
    </row>
    <row r="366" spans="1:9" x14ac:dyDescent="0.25">
      <c r="A366" s="3"/>
      <c r="I366" s="3"/>
    </row>
    <row r="367" spans="1:9" x14ac:dyDescent="0.25">
      <c r="A367" s="3"/>
      <c r="I367" s="3"/>
    </row>
    <row r="368" spans="1:9" x14ac:dyDescent="0.25">
      <c r="A368" s="3"/>
      <c r="I368" s="3"/>
    </row>
    <row r="369" spans="1:9" x14ac:dyDescent="0.25">
      <c r="A369" s="3"/>
      <c r="I369" s="3"/>
    </row>
    <row r="370" spans="1:9" x14ac:dyDescent="0.25">
      <c r="A370" s="3"/>
      <c r="I370" s="3"/>
    </row>
    <row r="371" spans="1:9" x14ac:dyDescent="0.25">
      <c r="A371" s="3"/>
      <c r="I371" s="3"/>
    </row>
    <row r="372" spans="1:9" x14ac:dyDescent="0.25">
      <c r="A372" s="3"/>
      <c r="I372" s="3"/>
    </row>
    <row r="373" spans="1:9" x14ac:dyDescent="0.25">
      <c r="A373" s="3"/>
      <c r="I373" s="3"/>
    </row>
    <row r="374" spans="1:9" x14ac:dyDescent="0.25">
      <c r="A374" s="3"/>
      <c r="I374" s="3"/>
    </row>
    <row r="375" spans="1:9" x14ac:dyDescent="0.25">
      <c r="A375" s="3"/>
      <c r="I375" s="3"/>
    </row>
    <row r="376" spans="1:9" x14ac:dyDescent="0.25">
      <c r="A376" s="3"/>
      <c r="I376" s="3"/>
    </row>
    <row r="377" spans="1:9" x14ac:dyDescent="0.25">
      <c r="A377" s="3"/>
      <c r="I377" s="3"/>
    </row>
    <row r="378" spans="1:9" x14ac:dyDescent="0.25">
      <c r="A378" s="3"/>
      <c r="I378" s="3"/>
    </row>
    <row r="379" spans="1:9" x14ac:dyDescent="0.25">
      <c r="A379" s="3"/>
      <c r="I379" s="3"/>
    </row>
    <row r="380" spans="1:9" x14ac:dyDescent="0.25">
      <c r="A380" s="3"/>
      <c r="I380" s="3"/>
    </row>
    <row r="381" spans="1:9" x14ac:dyDescent="0.25">
      <c r="A381" s="3"/>
      <c r="I381" s="3"/>
    </row>
    <row r="382" spans="1:9" x14ac:dyDescent="0.25">
      <c r="A382" s="3"/>
      <c r="I382" s="3"/>
    </row>
    <row r="383" spans="1:9" x14ac:dyDescent="0.25">
      <c r="A383" s="3"/>
      <c r="I383" s="3"/>
    </row>
    <row r="384" spans="1:9" x14ac:dyDescent="0.25">
      <c r="A384" s="3"/>
      <c r="I384" s="3"/>
    </row>
    <row r="385" spans="1:9" x14ac:dyDescent="0.25">
      <c r="A385" s="3"/>
      <c r="I385" s="3"/>
    </row>
    <row r="386" spans="1:9" x14ac:dyDescent="0.25">
      <c r="A386" s="3"/>
      <c r="I386" s="3"/>
    </row>
    <row r="387" spans="1:9" x14ac:dyDescent="0.25">
      <c r="A387" s="3"/>
      <c r="I387" s="3"/>
    </row>
    <row r="388" spans="1:9" x14ac:dyDescent="0.25">
      <c r="A388" s="3"/>
      <c r="I388" s="3"/>
    </row>
    <row r="389" spans="1:9" x14ac:dyDescent="0.25">
      <c r="A389" s="3"/>
      <c r="I389" s="3"/>
    </row>
    <row r="390" spans="1:9" x14ac:dyDescent="0.25">
      <c r="A390" s="3"/>
      <c r="I390" s="3"/>
    </row>
    <row r="391" spans="1:9" x14ac:dyDescent="0.25">
      <c r="A391" s="3"/>
      <c r="I391" s="3"/>
    </row>
    <row r="392" spans="1:9" x14ac:dyDescent="0.25">
      <c r="A392" s="3"/>
      <c r="I392" s="3"/>
    </row>
    <row r="393" spans="1:9" x14ac:dyDescent="0.25">
      <c r="A393" s="3"/>
      <c r="I393" s="3"/>
    </row>
    <row r="394" spans="1:9" x14ac:dyDescent="0.25">
      <c r="A394" s="3"/>
      <c r="I394" s="3"/>
    </row>
    <row r="395" spans="1:9" x14ac:dyDescent="0.25">
      <c r="A395" s="3"/>
      <c r="I395" s="3"/>
    </row>
    <row r="396" spans="1:9" x14ac:dyDescent="0.25">
      <c r="A396" s="3"/>
      <c r="I396" s="3"/>
    </row>
    <row r="397" spans="1:9" x14ac:dyDescent="0.25">
      <c r="A397" s="3"/>
      <c r="I397" s="3"/>
    </row>
    <row r="398" spans="1:9" x14ac:dyDescent="0.25">
      <c r="A398" s="3"/>
      <c r="I398" s="3"/>
    </row>
    <row r="399" spans="1:9" x14ac:dyDescent="0.25">
      <c r="A399" s="3"/>
      <c r="I399" s="3"/>
    </row>
    <row r="400" spans="1:9" x14ac:dyDescent="0.25">
      <c r="A400" s="3"/>
      <c r="I400" s="3"/>
    </row>
    <row r="401" spans="1:9" x14ac:dyDescent="0.25">
      <c r="A401" s="3"/>
      <c r="I401" s="3"/>
    </row>
    <row r="402" spans="1:9" x14ac:dyDescent="0.25">
      <c r="A402" s="3"/>
      <c r="I402" s="3"/>
    </row>
    <row r="403" spans="1:9" x14ac:dyDescent="0.25">
      <c r="A403" s="3"/>
      <c r="I403" s="3"/>
    </row>
    <row r="404" spans="1:9" x14ac:dyDescent="0.25">
      <c r="A404" s="3"/>
      <c r="I404" s="3"/>
    </row>
    <row r="405" spans="1:9" x14ac:dyDescent="0.25">
      <c r="A405" s="3"/>
      <c r="I405" s="3"/>
    </row>
    <row r="406" spans="1:9" x14ac:dyDescent="0.25">
      <c r="A406" s="3"/>
      <c r="I406" s="3"/>
    </row>
    <row r="407" spans="1:9" x14ac:dyDescent="0.25">
      <c r="A407" s="3"/>
      <c r="I407" s="3"/>
    </row>
    <row r="408" spans="1:9" x14ac:dyDescent="0.25">
      <c r="A408" s="3"/>
      <c r="I408" s="3"/>
    </row>
    <row r="409" spans="1:9" x14ac:dyDescent="0.25">
      <c r="A409" s="3"/>
      <c r="I409" s="3"/>
    </row>
    <row r="410" spans="1:9" x14ac:dyDescent="0.25">
      <c r="A410" s="3"/>
      <c r="I410" s="3"/>
    </row>
    <row r="411" spans="1:9" x14ac:dyDescent="0.25">
      <c r="A411" s="3"/>
      <c r="I411" s="3"/>
    </row>
    <row r="412" spans="1:9" x14ac:dyDescent="0.25">
      <c r="A412" s="3"/>
      <c r="I412" s="3"/>
    </row>
    <row r="413" spans="1:9" x14ac:dyDescent="0.25">
      <c r="A413" s="3"/>
      <c r="I413" s="3"/>
    </row>
    <row r="414" spans="1:9" x14ac:dyDescent="0.25">
      <c r="A414" s="3"/>
      <c r="I414" s="3"/>
    </row>
    <row r="415" spans="1:9" x14ac:dyDescent="0.25">
      <c r="A415" s="3"/>
      <c r="I415" s="3"/>
    </row>
    <row r="416" spans="1:9" x14ac:dyDescent="0.25">
      <c r="A416" s="3"/>
      <c r="I416" s="3"/>
    </row>
    <row r="417" spans="1:9" x14ac:dyDescent="0.25">
      <c r="A417" s="3"/>
      <c r="I417" s="3"/>
    </row>
    <row r="418" spans="1:9" x14ac:dyDescent="0.25">
      <c r="A418" s="3"/>
      <c r="I418" s="3"/>
    </row>
    <row r="419" spans="1:9" x14ac:dyDescent="0.25">
      <c r="A419" s="3"/>
      <c r="I419" s="3"/>
    </row>
    <row r="420" spans="1:9" x14ac:dyDescent="0.25">
      <c r="A420" s="3"/>
      <c r="I420" s="3"/>
    </row>
    <row r="421" spans="1:9" x14ac:dyDescent="0.25">
      <c r="A421" s="3"/>
      <c r="I421" s="3"/>
    </row>
    <row r="422" spans="1:9" x14ac:dyDescent="0.25">
      <c r="A422" s="3"/>
      <c r="I422" s="3"/>
    </row>
    <row r="423" spans="1:9" x14ac:dyDescent="0.25">
      <c r="A423" s="3"/>
      <c r="I423" s="3"/>
    </row>
    <row r="424" spans="1:9" x14ac:dyDescent="0.25">
      <c r="A424" s="3"/>
      <c r="I424" s="3"/>
    </row>
    <row r="425" spans="1:9" x14ac:dyDescent="0.25">
      <c r="A425" s="3"/>
      <c r="I425" s="3"/>
    </row>
    <row r="426" spans="1:9" x14ac:dyDescent="0.25">
      <c r="A426" s="3"/>
      <c r="I426" s="3"/>
    </row>
    <row r="427" spans="1:9" x14ac:dyDescent="0.25">
      <c r="A427" s="3"/>
      <c r="I427" s="3"/>
    </row>
    <row r="428" spans="1:9" x14ac:dyDescent="0.25">
      <c r="A428" s="3"/>
      <c r="I428" s="3"/>
    </row>
    <row r="429" spans="1:9" x14ac:dyDescent="0.25">
      <c r="A429" s="3"/>
      <c r="I429" s="3"/>
    </row>
    <row r="430" spans="1:9" x14ac:dyDescent="0.25">
      <c r="A430" s="3"/>
      <c r="I430" s="3"/>
    </row>
    <row r="431" spans="1:9" x14ac:dyDescent="0.25">
      <c r="A431" s="3"/>
      <c r="I431" s="3"/>
    </row>
    <row r="432" spans="1:9" x14ac:dyDescent="0.25">
      <c r="A432" s="3"/>
      <c r="I432" s="3"/>
    </row>
    <row r="433" spans="1:9" x14ac:dyDescent="0.25">
      <c r="A433" s="3"/>
      <c r="I433" s="3"/>
    </row>
    <row r="434" spans="1:9" x14ac:dyDescent="0.25">
      <c r="A434" s="3"/>
      <c r="I434" s="3"/>
    </row>
    <row r="435" spans="1:9" x14ac:dyDescent="0.25">
      <c r="A435" s="3"/>
      <c r="I435" s="3"/>
    </row>
    <row r="436" spans="1:9" x14ac:dyDescent="0.25">
      <c r="A436" s="3"/>
      <c r="I436" s="3"/>
    </row>
    <row r="437" spans="1:9" x14ac:dyDescent="0.25">
      <c r="A437" s="3"/>
      <c r="I437" s="3"/>
    </row>
    <row r="438" spans="1:9" x14ac:dyDescent="0.25">
      <c r="A438" s="3"/>
      <c r="I438" s="3"/>
    </row>
    <row r="439" spans="1:9" x14ac:dyDescent="0.25">
      <c r="A439" s="3"/>
      <c r="I439" s="3"/>
    </row>
    <row r="440" spans="1:9" x14ac:dyDescent="0.25">
      <c r="A440" s="3"/>
      <c r="I440" s="3"/>
    </row>
    <row r="441" spans="1:9" x14ac:dyDescent="0.25">
      <c r="A441" s="3"/>
      <c r="I441" s="3"/>
    </row>
    <row r="442" spans="1:9" x14ac:dyDescent="0.25">
      <c r="A442" s="3"/>
      <c r="I442" s="3"/>
    </row>
    <row r="443" spans="1:9" x14ac:dyDescent="0.25">
      <c r="A443" s="3"/>
      <c r="I443" s="3"/>
    </row>
    <row r="444" spans="1:9" x14ac:dyDescent="0.25">
      <c r="A444" s="3"/>
      <c r="I444" s="3"/>
    </row>
    <row r="445" spans="1:9" x14ac:dyDescent="0.25">
      <c r="A445" s="3"/>
      <c r="I445" s="3"/>
    </row>
    <row r="446" spans="1:9" x14ac:dyDescent="0.25">
      <c r="A446" s="3"/>
      <c r="I446" s="3"/>
    </row>
    <row r="447" spans="1:9" x14ac:dyDescent="0.25">
      <c r="A447" s="3"/>
      <c r="I447" s="3"/>
    </row>
    <row r="448" spans="1:9" x14ac:dyDescent="0.25">
      <c r="A448" s="3"/>
      <c r="I448" s="3"/>
    </row>
    <row r="449" spans="1:9" x14ac:dyDescent="0.25">
      <c r="A449" s="3"/>
      <c r="I449" s="3"/>
    </row>
    <row r="450" spans="1:9" x14ac:dyDescent="0.25">
      <c r="A450" s="3"/>
      <c r="I450" s="3"/>
    </row>
    <row r="451" spans="1:9" x14ac:dyDescent="0.25">
      <c r="A451" s="3"/>
      <c r="I451" s="3"/>
    </row>
    <row r="452" spans="1:9" x14ac:dyDescent="0.25">
      <c r="A452" s="3"/>
      <c r="I452" s="3"/>
    </row>
    <row r="453" spans="1:9" x14ac:dyDescent="0.25">
      <c r="A453" s="3"/>
      <c r="I453" s="3"/>
    </row>
    <row r="454" spans="1:9" x14ac:dyDescent="0.25">
      <c r="A454" s="3"/>
      <c r="I454" s="3"/>
    </row>
    <row r="455" spans="1:9" x14ac:dyDescent="0.25">
      <c r="A455" s="3"/>
      <c r="I455" s="3"/>
    </row>
    <row r="456" spans="1:9" x14ac:dyDescent="0.25">
      <c r="A456" s="3"/>
      <c r="I456" s="3"/>
    </row>
    <row r="457" spans="1:9" x14ac:dyDescent="0.25">
      <c r="A457" s="3"/>
      <c r="I457" s="3"/>
    </row>
    <row r="458" spans="1:9" x14ac:dyDescent="0.25">
      <c r="A458" s="3"/>
      <c r="I458" s="3"/>
    </row>
    <row r="459" spans="1:9" x14ac:dyDescent="0.25">
      <c r="A459" s="3"/>
      <c r="I459" s="3"/>
    </row>
    <row r="460" spans="1:9" x14ac:dyDescent="0.25">
      <c r="A460" s="3"/>
      <c r="I460" s="3"/>
    </row>
    <row r="461" spans="1:9" x14ac:dyDescent="0.25">
      <c r="A461" s="3"/>
      <c r="I461" s="3"/>
    </row>
    <row r="462" spans="1:9" x14ac:dyDescent="0.25">
      <c r="A462" s="3"/>
      <c r="I462" s="3"/>
    </row>
    <row r="463" spans="1:9" x14ac:dyDescent="0.25">
      <c r="A463" s="3"/>
      <c r="I463" s="3"/>
    </row>
    <row r="464" spans="1:9" x14ac:dyDescent="0.25">
      <c r="A464" s="3"/>
      <c r="I464" s="3"/>
    </row>
    <row r="465" spans="1:9" x14ac:dyDescent="0.25">
      <c r="A465" s="3"/>
      <c r="I465" s="3"/>
    </row>
    <row r="466" spans="1:9" x14ac:dyDescent="0.25">
      <c r="A466" s="3"/>
      <c r="I466" s="3"/>
    </row>
    <row r="467" spans="1:9" x14ac:dyDescent="0.25">
      <c r="A467" s="3"/>
      <c r="I467" s="3"/>
    </row>
    <row r="468" spans="1:9" x14ac:dyDescent="0.25">
      <c r="A468" s="3"/>
      <c r="I468" s="3"/>
    </row>
    <row r="469" spans="1:9" x14ac:dyDescent="0.25">
      <c r="A469" s="3"/>
      <c r="I469" s="3"/>
    </row>
    <row r="470" spans="1:9" x14ac:dyDescent="0.25">
      <c r="A470" s="3"/>
      <c r="I470" s="3"/>
    </row>
    <row r="471" spans="1:9" x14ac:dyDescent="0.25">
      <c r="A471" s="3"/>
      <c r="I471" s="3"/>
    </row>
    <row r="472" spans="1:9" x14ac:dyDescent="0.25">
      <c r="A472" s="3"/>
      <c r="I472" s="3"/>
    </row>
    <row r="473" spans="1:9" x14ac:dyDescent="0.25">
      <c r="A473" s="3"/>
      <c r="I473" s="3"/>
    </row>
    <row r="474" spans="1:9" x14ac:dyDescent="0.25">
      <c r="A474" s="3"/>
      <c r="I474" s="3"/>
    </row>
    <row r="475" spans="1:9" x14ac:dyDescent="0.25">
      <c r="A475" s="3"/>
      <c r="I475" s="3"/>
    </row>
    <row r="476" spans="1:9" x14ac:dyDescent="0.25">
      <c r="A476" s="3"/>
      <c r="I476" s="3"/>
    </row>
    <row r="477" spans="1:9" x14ac:dyDescent="0.25">
      <c r="A477" s="3"/>
      <c r="I477" s="3"/>
    </row>
    <row r="478" spans="1:9" x14ac:dyDescent="0.25">
      <c r="A478" s="3"/>
      <c r="I478" s="3"/>
    </row>
    <row r="479" spans="1:9" x14ac:dyDescent="0.25">
      <c r="A479" s="3"/>
      <c r="I479" s="3"/>
    </row>
    <row r="480" spans="1:9" x14ac:dyDescent="0.25">
      <c r="A480" s="3"/>
      <c r="I480" s="3"/>
    </row>
    <row r="481" spans="1:9" x14ac:dyDescent="0.25">
      <c r="A481" s="3"/>
      <c r="I481" s="3"/>
    </row>
    <row r="482" spans="1:9" x14ac:dyDescent="0.25">
      <c r="A482" s="3"/>
      <c r="I482" s="3"/>
    </row>
    <row r="483" spans="1:9" x14ac:dyDescent="0.25">
      <c r="A483" s="3"/>
      <c r="I483" s="3"/>
    </row>
    <row r="484" spans="1:9" x14ac:dyDescent="0.25">
      <c r="A484" s="3"/>
      <c r="I484" s="3"/>
    </row>
    <row r="485" spans="1:9" x14ac:dyDescent="0.25">
      <c r="A485" s="3"/>
      <c r="I485" s="3"/>
    </row>
    <row r="486" spans="1:9" x14ac:dyDescent="0.25">
      <c r="A486" s="3"/>
      <c r="I486" s="3"/>
    </row>
    <row r="487" spans="1:9" x14ac:dyDescent="0.25">
      <c r="A487" s="3"/>
      <c r="I487" s="3"/>
    </row>
    <row r="488" spans="1:9" x14ac:dyDescent="0.25">
      <c r="A488" s="3"/>
      <c r="I488" s="3"/>
    </row>
    <row r="489" spans="1:9" x14ac:dyDescent="0.25">
      <c r="A489" s="3"/>
      <c r="I489" s="3"/>
    </row>
    <row r="490" spans="1:9" x14ac:dyDescent="0.25">
      <c r="A490" s="3"/>
      <c r="I490" s="3"/>
    </row>
    <row r="491" spans="1:9" x14ac:dyDescent="0.25">
      <c r="A491" s="3"/>
      <c r="I491" s="3"/>
    </row>
    <row r="492" spans="1:9" x14ac:dyDescent="0.25">
      <c r="A492" s="3"/>
      <c r="I492" s="3"/>
    </row>
    <row r="493" spans="1:9" x14ac:dyDescent="0.25">
      <c r="A493" s="3"/>
      <c r="I493" s="3"/>
    </row>
    <row r="494" spans="1:9" x14ac:dyDescent="0.25">
      <c r="A494" s="3"/>
      <c r="I494" s="3"/>
    </row>
    <row r="495" spans="1:9" x14ac:dyDescent="0.25">
      <c r="A495" s="3"/>
      <c r="I495" s="3"/>
    </row>
    <row r="496" spans="1:9" x14ac:dyDescent="0.25">
      <c r="A496" s="3"/>
      <c r="I496" s="3"/>
    </row>
    <row r="497" spans="1:9" x14ac:dyDescent="0.25">
      <c r="A497" s="3"/>
      <c r="I497" s="3"/>
    </row>
    <row r="498" spans="1:9" x14ac:dyDescent="0.25">
      <c r="A498" s="3"/>
      <c r="I498" s="3"/>
    </row>
    <row r="499" spans="1:9" x14ac:dyDescent="0.25">
      <c r="A499" s="3"/>
      <c r="I499" s="3"/>
    </row>
    <row r="500" spans="1:9" x14ac:dyDescent="0.25">
      <c r="A500" s="3"/>
      <c r="I500" s="3"/>
    </row>
    <row r="501" spans="1:9" x14ac:dyDescent="0.25">
      <c r="A501" s="3"/>
      <c r="I501" s="3"/>
    </row>
    <row r="502" spans="1:9" x14ac:dyDescent="0.25">
      <c r="A502" s="3"/>
      <c r="I502" s="3"/>
    </row>
    <row r="503" spans="1:9" x14ac:dyDescent="0.25">
      <c r="A503" s="3"/>
      <c r="I503" s="3"/>
    </row>
    <row r="504" spans="1:9" x14ac:dyDescent="0.25">
      <c r="A504" s="3"/>
      <c r="I504" s="3"/>
    </row>
    <row r="505" spans="1:9" x14ac:dyDescent="0.25">
      <c r="A505" s="3"/>
      <c r="I505" s="3"/>
    </row>
    <row r="506" spans="1:9" x14ac:dyDescent="0.25">
      <c r="A506" s="3"/>
      <c r="I506" s="3"/>
    </row>
    <row r="507" spans="1:9" x14ac:dyDescent="0.25">
      <c r="A507" s="3"/>
      <c r="I507" s="3"/>
    </row>
    <row r="508" spans="1:9" x14ac:dyDescent="0.25">
      <c r="A508" s="3"/>
      <c r="I508" s="3"/>
    </row>
    <row r="509" spans="1:9" x14ac:dyDescent="0.25">
      <c r="A509" s="3"/>
      <c r="I509" s="3"/>
    </row>
    <row r="510" spans="1:9" x14ac:dyDescent="0.25">
      <c r="A510" s="3"/>
      <c r="I510" s="3"/>
    </row>
    <row r="511" spans="1:9" x14ac:dyDescent="0.25">
      <c r="A511" s="3"/>
      <c r="I511" s="3"/>
    </row>
    <row r="512" spans="1:9" x14ac:dyDescent="0.25">
      <c r="A512" s="3"/>
      <c r="I512" s="3"/>
    </row>
    <row r="513" spans="1:9" x14ac:dyDescent="0.25">
      <c r="A513" s="3"/>
      <c r="I513" s="3"/>
    </row>
    <row r="514" spans="1:9" x14ac:dyDescent="0.25">
      <c r="A514" s="3"/>
      <c r="I514" s="3"/>
    </row>
    <row r="515" spans="1:9" x14ac:dyDescent="0.25">
      <c r="A515" s="3"/>
      <c r="I515" s="3"/>
    </row>
    <row r="516" spans="1:9" x14ac:dyDescent="0.25">
      <c r="A516" s="3"/>
      <c r="I516" s="3"/>
    </row>
    <row r="517" spans="1:9" x14ac:dyDescent="0.25">
      <c r="A517" s="3"/>
      <c r="I517" s="3"/>
    </row>
    <row r="518" spans="1:9" x14ac:dyDescent="0.25">
      <c r="A518" s="3"/>
      <c r="I518" s="3"/>
    </row>
    <row r="519" spans="1:9" x14ac:dyDescent="0.25">
      <c r="A519" s="3"/>
      <c r="I519" s="3"/>
    </row>
    <row r="520" spans="1:9" x14ac:dyDescent="0.25">
      <c r="A520" s="3"/>
      <c r="I520" s="3"/>
    </row>
    <row r="521" spans="1:9" x14ac:dyDescent="0.25">
      <c r="A521" s="3"/>
      <c r="I521" s="3"/>
    </row>
    <row r="522" spans="1:9" x14ac:dyDescent="0.25">
      <c r="A522" s="3"/>
      <c r="I522" s="3"/>
    </row>
    <row r="523" spans="1:9" x14ac:dyDescent="0.25">
      <c r="A523" s="3"/>
      <c r="I523" s="3"/>
    </row>
    <row r="524" spans="1:9" x14ac:dyDescent="0.25">
      <c r="A524" s="3"/>
      <c r="I524" s="3"/>
    </row>
    <row r="525" spans="1:9" x14ac:dyDescent="0.25">
      <c r="A525" s="3"/>
      <c r="I525" s="3"/>
    </row>
    <row r="526" spans="1:9" x14ac:dyDescent="0.25">
      <c r="A526" s="3"/>
      <c r="I526" s="3"/>
    </row>
    <row r="527" spans="1:9" x14ac:dyDescent="0.25">
      <c r="A527" s="3"/>
      <c r="I527" s="3"/>
    </row>
    <row r="528" spans="1:9" x14ac:dyDescent="0.25">
      <c r="A528" s="3"/>
      <c r="I528" s="3"/>
    </row>
    <row r="529" spans="1:9" x14ac:dyDescent="0.25">
      <c r="A529" s="3"/>
      <c r="I529" s="3"/>
    </row>
    <row r="530" spans="1:9" x14ac:dyDescent="0.25">
      <c r="A530" s="3"/>
      <c r="I530" s="3"/>
    </row>
    <row r="531" spans="1:9" x14ac:dyDescent="0.25">
      <c r="A531" s="3"/>
      <c r="I531" s="3"/>
    </row>
    <row r="532" spans="1:9" x14ac:dyDescent="0.25">
      <c r="A532" s="3"/>
      <c r="I532" s="3"/>
    </row>
    <row r="533" spans="1:9" x14ac:dyDescent="0.25">
      <c r="A533" s="3"/>
      <c r="I533" s="3"/>
    </row>
    <row r="534" spans="1:9" x14ac:dyDescent="0.25">
      <c r="A534" s="3"/>
      <c r="I534" s="3"/>
    </row>
    <row r="535" spans="1:9" x14ac:dyDescent="0.25">
      <c r="A535" s="3"/>
      <c r="I535" s="3"/>
    </row>
    <row r="536" spans="1:9" x14ac:dyDescent="0.25">
      <c r="A536" s="3"/>
      <c r="I536" s="3"/>
    </row>
    <row r="537" spans="1:9" x14ac:dyDescent="0.25">
      <c r="A537" s="3"/>
      <c r="I537" s="3"/>
    </row>
    <row r="538" spans="1:9" x14ac:dyDescent="0.25">
      <c r="A538" s="3"/>
      <c r="I538" s="3"/>
    </row>
    <row r="539" spans="1:9" x14ac:dyDescent="0.25">
      <c r="A539" s="3"/>
      <c r="I539" s="3"/>
    </row>
    <row r="540" spans="1:9" x14ac:dyDescent="0.25">
      <c r="A540" s="3"/>
      <c r="I540" s="3"/>
    </row>
    <row r="541" spans="1:9" x14ac:dyDescent="0.25">
      <c r="A541" s="3"/>
      <c r="I541" s="3"/>
    </row>
    <row r="542" spans="1:9" x14ac:dyDescent="0.25">
      <c r="A542" s="3"/>
      <c r="I542" s="3"/>
    </row>
    <row r="543" spans="1:9" x14ac:dyDescent="0.25">
      <c r="A543" s="3"/>
      <c r="I543" s="3"/>
    </row>
    <row r="544" spans="1:9" x14ac:dyDescent="0.25">
      <c r="A544" s="3"/>
      <c r="I544" s="3"/>
    </row>
    <row r="545" spans="1:9" x14ac:dyDescent="0.25">
      <c r="A545" s="3"/>
      <c r="I545" s="3"/>
    </row>
    <row r="546" spans="1:9" x14ac:dyDescent="0.25">
      <c r="A546" s="3"/>
      <c r="I546" s="3"/>
    </row>
    <row r="547" spans="1:9" x14ac:dyDescent="0.25">
      <c r="A547" s="3"/>
      <c r="I547" s="3"/>
    </row>
    <row r="548" spans="1:9" x14ac:dyDescent="0.25">
      <c r="A548" s="3"/>
      <c r="I548" s="3"/>
    </row>
    <row r="549" spans="1:9" x14ac:dyDescent="0.25">
      <c r="A549" s="3"/>
      <c r="I549" s="3"/>
    </row>
    <row r="550" spans="1:9" x14ac:dyDescent="0.25">
      <c r="A550" s="3"/>
      <c r="I550" s="3"/>
    </row>
    <row r="551" spans="1:9" x14ac:dyDescent="0.25">
      <c r="A551" s="3"/>
      <c r="I551" s="3"/>
    </row>
    <row r="552" spans="1:9" x14ac:dyDescent="0.25">
      <c r="A552" s="3"/>
      <c r="I552" s="3"/>
    </row>
    <row r="553" spans="1:9" x14ac:dyDescent="0.25">
      <c r="A553" s="3"/>
      <c r="I553" s="3"/>
    </row>
    <row r="554" spans="1:9" x14ac:dyDescent="0.25">
      <c r="A554" s="3"/>
      <c r="I554" s="3"/>
    </row>
    <row r="555" spans="1:9" x14ac:dyDescent="0.25">
      <c r="A555" s="3"/>
      <c r="I555" s="3"/>
    </row>
    <row r="556" spans="1:9" x14ac:dyDescent="0.25">
      <c r="A556" s="3"/>
      <c r="I556" s="3"/>
    </row>
    <row r="557" spans="1:9" x14ac:dyDescent="0.25">
      <c r="A557" s="3"/>
      <c r="I557" s="3"/>
    </row>
    <row r="558" spans="1:9" x14ac:dyDescent="0.25">
      <c r="A558" s="3"/>
      <c r="I558" s="3"/>
    </row>
    <row r="559" spans="1:9" x14ac:dyDescent="0.25">
      <c r="A559" s="3"/>
      <c r="I559" s="3"/>
    </row>
    <row r="560" spans="1:9" x14ac:dyDescent="0.25">
      <c r="A560" s="3"/>
      <c r="I560" s="3"/>
    </row>
    <row r="561" spans="1:9" x14ac:dyDescent="0.25">
      <c r="A561" s="3"/>
      <c r="I561" s="3"/>
    </row>
    <row r="562" spans="1:9" x14ac:dyDescent="0.25">
      <c r="A562" s="3"/>
      <c r="I562" s="3"/>
    </row>
    <row r="563" spans="1:9" x14ac:dyDescent="0.25">
      <c r="A563" s="3"/>
      <c r="I563" s="3"/>
    </row>
    <row r="564" spans="1:9" x14ac:dyDescent="0.25">
      <c r="A564" s="3"/>
      <c r="I564" s="3"/>
    </row>
    <row r="565" spans="1:9" x14ac:dyDescent="0.25">
      <c r="A565" s="3"/>
      <c r="I565" s="3"/>
    </row>
    <row r="566" spans="1:9" x14ac:dyDescent="0.25">
      <c r="A566" s="3"/>
      <c r="I566" s="3"/>
    </row>
    <row r="567" spans="1:9" x14ac:dyDescent="0.25">
      <c r="A567" s="3"/>
      <c r="I567" s="3"/>
    </row>
    <row r="568" spans="1:9" x14ac:dyDescent="0.25">
      <c r="A568" s="3"/>
      <c r="I568" s="3"/>
    </row>
    <row r="569" spans="1:9" x14ac:dyDescent="0.25">
      <c r="A569" s="3"/>
      <c r="I569" s="3"/>
    </row>
    <row r="570" spans="1:9" x14ac:dyDescent="0.25">
      <c r="A570" s="3"/>
      <c r="I570" s="3"/>
    </row>
    <row r="571" spans="1:9" x14ac:dyDescent="0.25">
      <c r="A571" s="3"/>
      <c r="I571" s="3"/>
    </row>
    <row r="572" spans="1:9" x14ac:dyDescent="0.25">
      <c r="A572" s="3"/>
      <c r="I572" s="3"/>
    </row>
    <row r="573" spans="1:9" x14ac:dyDescent="0.25">
      <c r="A573" s="3"/>
      <c r="I573" s="3"/>
    </row>
    <row r="574" spans="1:9" x14ac:dyDescent="0.25">
      <c r="A574" s="3"/>
      <c r="I574" s="3"/>
    </row>
    <row r="575" spans="1:9" x14ac:dyDescent="0.25">
      <c r="A575" s="3"/>
      <c r="I575" s="3"/>
    </row>
    <row r="576" spans="1:9" x14ac:dyDescent="0.25">
      <c r="A576" s="3"/>
      <c r="I576" s="3"/>
    </row>
    <row r="577" spans="1:9" x14ac:dyDescent="0.25">
      <c r="A577" s="3"/>
      <c r="I577" s="3"/>
    </row>
    <row r="578" spans="1:9" x14ac:dyDescent="0.25">
      <c r="A578" s="3"/>
      <c r="I578" s="3"/>
    </row>
    <row r="579" spans="1:9" x14ac:dyDescent="0.25">
      <c r="A579" s="3"/>
      <c r="I579" s="3"/>
    </row>
    <row r="580" spans="1:9" x14ac:dyDescent="0.25">
      <c r="A580" s="3"/>
      <c r="I580" s="3"/>
    </row>
    <row r="581" spans="1:9" x14ac:dyDescent="0.25">
      <c r="A581" s="3"/>
      <c r="I581" s="3"/>
    </row>
    <row r="582" spans="1:9" x14ac:dyDescent="0.25">
      <c r="A582" s="3"/>
      <c r="I582" s="3"/>
    </row>
    <row r="583" spans="1:9" x14ac:dyDescent="0.25">
      <c r="A583" s="3"/>
      <c r="I583" s="3"/>
    </row>
    <row r="584" spans="1:9" x14ac:dyDescent="0.25">
      <c r="A584" s="3"/>
      <c r="I584" s="3"/>
    </row>
    <row r="585" spans="1:9" x14ac:dyDescent="0.25">
      <c r="A585" s="3"/>
      <c r="I585" s="3"/>
    </row>
    <row r="586" spans="1:9" x14ac:dyDescent="0.25">
      <c r="A586" s="3"/>
      <c r="I586" s="3"/>
    </row>
    <row r="587" spans="1:9" x14ac:dyDescent="0.25">
      <c r="A587" s="3"/>
      <c r="I587" s="3"/>
    </row>
    <row r="588" spans="1:9" x14ac:dyDescent="0.25">
      <c r="A588" s="3"/>
      <c r="I588" s="3"/>
    </row>
    <row r="589" spans="1:9" x14ac:dyDescent="0.25">
      <c r="A589" s="3"/>
      <c r="I589" s="3"/>
    </row>
    <row r="590" spans="1:9" x14ac:dyDescent="0.25">
      <c r="A590" s="3"/>
      <c r="I590" s="3"/>
    </row>
    <row r="591" spans="1:9" x14ac:dyDescent="0.25">
      <c r="A591" s="3"/>
      <c r="I591" s="3"/>
    </row>
    <row r="592" spans="1:9" x14ac:dyDescent="0.25">
      <c r="A592" s="3"/>
      <c r="I592" s="3"/>
    </row>
    <row r="593" spans="1:9" x14ac:dyDescent="0.25">
      <c r="A593" s="3"/>
      <c r="I593" s="3"/>
    </row>
    <row r="594" spans="1:9" x14ac:dyDescent="0.25">
      <c r="A594" s="3"/>
      <c r="I594" s="3"/>
    </row>
    <row r="595" spans="1:9" x14ac:dyDescent="0.25">
      <c r="A595" s="3"/>
      <c r="I595" s="3"/>
    </row>
    <row r="596" spans="1:9" x14ac:dyDescent="0.25">
      <c r="A596" s="3"/>
      <c r="I596" s="3"/>
    </row>
    <row r="597" spans="1:9" x14ac:dyDescent="0.25">
      <c r="A597" s="3"/>
      <c r="I597" s="3"/>
    </row>
    <row r="598" spans="1:9" x14ac:dyDescent="0.25">
      <c r="A598" s="3"/>
      <c r="I598" s="3"/>
    </row>
    <row r="599" spans="1:9" x14ac:dyDescent="0.25">
      <c r="A599" s="3"/>
      <c r="I599" s="3"/>
    </row>
    <row r="600" spans="1:9" x14ac:dyDescent="0.25">
      <c r="A600" s="3"/>
      <c r="I600" s="3"/>
    </row>
    <row r="601" spans="1:9" x14ac:dyDescent="0.25">
      <c r="A601" s="3"/>
      <c r="I601" s="3"/>
    </row>
    <row r="602" spans="1:9" x14ac:dyDescent="0.25">
      <c r="A602" s="3"/>
      <c r="I602" s="3"/>
    </row>
    <row r="603" spans="1:9" x14ac:dyDescent="0.25">
      <c r="A603" s="3"/>
      <c r="I603" s="3"/>
    </row>
    <row r="604" spans="1:9" x14ac:dyDescent="0.25">
      <c r="A604" s="3"/>
      <c r="I604" s="3"/>
    </row>
    <row r="605" spans="1:9" x14ac:dyDescent="0.25">
      <c r="A605" s="3"/>
      <c r="I605" s="3"/>
    </row>
    <row r="606" spans="1:9" x14ac:dyDescent="0.25">
      <c r="A606" s="3"/>
      <c r="I606" s="3"/>
    </row>
    <row r="607" spans="1:9" x14ac:dyDescent="0.25">
      <c r="A607" s="3"/>
      <c r="I607" s="3"/>
    </row>
    <row r="608" spans="1:9" x14ac:dyDescent="0.25">
      <c r="A608" s="3"/>
      <c r="I608" s="3"/>
    </row>
    <row r="609" spans="1:9" x14ac:dyDescent="0.25">
      <c r="A609" s="3"/>
      <c r="I609" s="3"/>
    </row>
    <row r="610" spans="1:9" x14ac:dyDescent="0.25">
      <c r="A610" s="3"/>
      <c r="I610" s="3"/>
    </row>
    <row r="611" spans="1:9" x14ac:dyDescent="0.25">
      <c r="A611" s="3"/>
      <c r="I611" s="3"/>
    </row>
    <row r="612" spans="1:9" x14ac:dyDescent="0.25">
      <c r="A612" s="3"/>
      <c r="I612" s="3"/>
    </row>
    <row r="613" spans="1:9" x14ac:dyDescent="0.25">
      <c r="A613" s="3"/>
      <c r="I613" s="3"/>
    </row>
    <row r="614" spans="1:9" x14ac:dyDescent="0.25">
      <c r="A614" s="3"/>
      <c r="I614" s="3"/>
    </row>
    <row r="615" spans="1:9" x14ac:dyDescent="0.25">
      <c r="A615" s="3"/>
      <c r="I615" s="3"/>
    </row>
    <row r="616" spans="1:9" x14ac:dyDescent="0.25">
      <c r="A616" s="3"/>
      <c r="I616" s="3"/>
    </row>
    <row r="617" spans="1:9" x14ac:dyDescent="0.25">
      <c r="A617" s="3"/>
      <c r="I617" s="3"/>
    </row>
    <row r="618" spans="1:9" x14ac:dyDescent="0.25">
      <c r="A618" s="3"/>
      <c r="I618" s="3"/>
    </row>
    <row r="619" spans="1:9" x14ac:dyDescent="0.25">
      <c r="A619" s="3"/>
      <c r="I619" s="3"/>
    </row>
    <row r="620" spans="1:9" x14ac:dyDescent="0.25">
      <c r="A620" s="3"/>
      <c r="I620" s="3"/>
    </row>
    <row r="621" spans="1:9" x14ac:dyDescent="0.25">
      <c r="A621" s="3"/>
      <c r="I621" s="3"/>
    </row>
    <row r="622" spans="1:9" x14ac:dyDescent="0.25">
      <c r="A622" s="3"/>
      <c r="I622" s="3"/>
    </row>
    <row r="623" spans="1:9" x14ac:dyDescent="0.25">
      <c r="A623" s="3"/>
      <c r="I623" s="3"/>
    </row>
    <row r="624" spans="1:9" x14ac:dyDescent="0.25">
      <c r="A624" s="3"/>
      <c r="I624" s="3"/>
    </row>
    <row r="625" spans="1:9" x14ac:dyDescent="0.25">
      <c r="A625" s="3"/>
      <c r="I625" s="3"/>
    </row>
    <row r="626" spans="1:9" x14ac:dyDescent="0.25">
      <c r="A626" s="3"/>
      <c r="I626" s="3"/>
    </row>
    <row r="627" spans="1:9" x14ac:dyDescent="0.25">
      <c r="A627" s="3"/>
      <c r="I627" s="3"/>
    </row>
    <row r="628" spans="1:9" x14ac:dyDescent="0.25">
      <c r="A628" s="3"/>
      <c r="I628" s="3"/>
    </row>
    <row r="629" spans="1:9" x14ac:dyDescent="0.25">
      <c r="A629" s="3"/>
      <c r="I629" s="3"/>
    </row>
    <row r="630" spans="1:9" x14ac:dyDescent="0.25">
      <c r="A630" s="3"/>
      <c r="I630" s="3"/>
    </row>
    <row r="631" spans="1:9" x14ac:dyDescent="0.25">
      <c r="A631" s="3"/>
      <c r="I631" s="3"/>
    </row>
    <row r="632" spans="1:9" x14ac:dyDescent="0.25">
      <c r="A632" s="3"/>
      <c r="I632" s="3"/>
    </row>
    <row r="633" spans="1:9" x14ac:dyDescent="0.25">
      <c r="A633" s="3"/>
      <c r="I633" s="3"/>
    </row>
    <row r="634" spans="1:9" x14ac:dyDescent="0.25">
      <c r="A634" s="3"/>
      <c r="I634" s="3"/>
    </row>
    <row r="635" spans="1:9" x14ac:dyDescent="0.25">
      <c r="A635" s="3"/>
      <c r="I635" s="3"/>
    </row>
    <row r="636" spans="1:9" x14ac:dyDescent="0.25">
      <c r="A636" s="3"/>
      <c r="I636" s="3"/>
    </row>
    <row r="637" spans="1:9" x14ac:dyDescent="0.25">
      <c r="A637" s="3"/>
      <c r="I637" s="3"/>
    </row>
    <row r="638" spans="1:9" x14ac:dyDescent="0.25">
      <c r="A638" s="3"/>
      <c r="I638" s="3"/>
    </row>
    <row r="639" spans="1:9" x14ac:dyDescent="0.25">
      <c r="A639" s="3"/>
      <c r="I639" s="3"/>
    </row>
    <row r="640" spans="1:9" x14ac:dyDescent="0.25">
      <c r="A640" s="3"/>
      <c r="I640" s="3"/>
    </row>
    <row r="641" spans="1:9" x14ac:dyDescent="0.25">
      <c r="A641" s="3"/>
      <c r="I641" s="3"/>
    </row>
    <row r="642" spans="1:9" x14ac:dyDescent="0.25">
      <c r="A642" s="3"/>
      <c r="I642" s="3"/>
    </row>
    <row r="643" spans="1:9" x14ac:dyDescent="0.25">
      <c r="A643" s="3"/>
      <c r="I643" s="3"/>
    </row>
    <row r="644" spans="1:9" x14ac:dyDescent="0.25">
      <c r="A644" s="3"/>
      <c r="I644" s="3"/>
    </row>
    <row r="645" spans="1:9" x14ac:dyDescent="0.25">
      <c r="A645" s="3"/>
      <c r="I645" s="3"/>
    </row>
    <row r="646" spans="1:9" x14ac:dyDescent="0.25">
      <c r="A646" s="3"/>
      <c r="I646" s="3"/>
    </row>
    <row r="647" spans="1:9" x14ac:dyDescent="0.25">
      <c r="A647" s="3"/>
      <c r="I647" s="3"/>
    </row>
    <row r="648" spans="1:9" x14ac:dyDescent="0.25">
      <c r="A648" s="3"/>
      <c r="I648" s="3"/>
    </row>
    <row r="649" spans="1:9" x14ac:dyDescent="0.25">
      <c r="A649" s="3"/>
      <c r="I649" s="3"/>
    </row>
    <row r="650" spans="1:9" x14ac:dyDescent="0.25">
      <c r="A650" s="3"/>
      <c r="I650" s="3"/>
    </row>
    <row r="651" spans="1:9" x14ac:dyDescent="0.25">
      <c r="A651" s="3"/>
      <c r="I651" s="3"/>
    </row>
    <row r="652" spans="1:9" x14ac:dyDescent="0.25">
      <c r="A652" s="3"/>
      <c r="I652" s="3"/>
    </row>
    <row r="653" spans="1:9" x14ac:dyDescent="0.25">
      <c r="A653" s="3"/>
      <c r="I653" s="3"/>
    </row>
    <row r="654" spans="1:9" x14ac:dyDescent="0.25">
      <c r="A654" s="3"/>
      <c r="I654" s="3"/>
    </row>
    <row r="655" spans="1:9" x14ac:dyDescent="0.25">
      <c r="A655" s="3"/>
      <c r="I655" s="3"/>
    </row>
    <row r="656" spans="1:9" x14ac:dyDescent="0.25">
      <c r="A656" s="3"/>
      <c r="I656" s="3"/>
    </row>
    <row r="657" spans="1:9" x14ac:dyDescent="0.25">
      <c r="A657" s="3"/>
      <c r="I657" s="3"/>
    </row>
    <row r="658" spans="1:9" x14ac:dyDescent="0.25">
      <c r="A658" s="3"/>
      <c r="I658" s="3"/>
    </row>
    <row r="659" spans="1:9" x14ac:dyDescent="0.25">
      <c r="A659" s="3"/>
      <c r="I659" s="3"/>
    </row>
    <row r="660" spans="1:9" x14ac:dyDescent="0.25">
      <c r="A660" s="3"/>
      <c r="I660" s="3"/>
    </row>
    <row r="661" spans="1:9" x14ac:dyDescent="0.25">
      <c r="A661" s="3"/>
      <c r="I661" s="3"/>
    </row>
    <row r="662" spans="1:9" x14ac:dyDescent="0.25">
      <c r="A662" s="3"/>
      <c r="I662" s="3"/>
    </row>
    <row r="663" spans="1:9" x14ac:dyDescent="0.25">
      <c r="A663" s="3"/>
      <c r="I663" s="3"/>
    </row>
    <row r="664" spans="1:9" x14ac:dyDescent="0.25">
      <c r="A664" s="3"/>
      <c r="I664" s="3"/>
    </row>
    <row r="665" spans="1:9" x14ac:dyDescent="0.25">
      <c r="A665" s="3"/>
      <c r="I665" s="3"/>
    </row>
    <row r="666" spans="1:9" x14ac:dyDescent="0.25">
      <c r="A666" s="3"/>
      <c r="I666" s="3"/>
    </row>
    <row r="667" spans="1:9" x14ac:dyDescent="0.25">
      <c r="A667" s="3"/>
      <c r="I667" s="3"/>
    </row>
    <row r="668" spans="1:9" x14ac:dyDescent="0.25">
      <c r="A668" s="3"/>
      <c r="I668" s="3"/>
    </row>
    <row r="669" spans="1:9" x14ac:dyDescent="0.25">
      <c r="A669" s="3"/>
      <c r="I669" s="3"/>
    </row>
    <row r="670" spans="1:9" x14ac:dyDescent="0.25">
      <c r="A670" s="3"/>
      <c r="I670" s="3"/>
    </row>
    <row r="671" spans="1:9" x14ac:dyDescent="0.25">
      <c r="A671" s="3"/>
      <c r="I671" s="3"/>
    </row>
    <row r="672" spans="1:9" x14ac:dyDescent="0.25">
      <c r="A672" s="3"/>
      <c r="I672" s="3"/>
    </row>
    <row r="673" spans="1:9" x14ac:dyDescent="0.25">
      <c r="A673" s="3"/>
      <c r="I673" s="3"/>
    </row>
    <row r="674" spans="1:9" x14ac:dyDescent="0.25">
      <c r="A674" s="3"/>
      <c r="I674" s="3"/>
    </row>
    <row r="675" spans="1:9" x14ac:dyDescent="0.25">
      <c r="A675" s="3"/>
      <c r="I675" s="3"/>
    </row>
    <row r="676" spans="1:9" x14ac:dyDescent="0.25">
      <c r="A676" s="3"/>
      <c r="I676" s="3"/>
    </row>
    <row r="677" spans="1:9" x14ac:dyDescent="0.25">
      <c r="A677" s="3"/>
      <c r="I677" s="3"/>
    </row>
    <row r="678" spans="1:9" x14ac:dyDescent="0.25">
      <c r="A678" s="3"/>
      <c r="I678" s="3"/>
    </row>
    <row r="679" spans="1:9" x14ac:dyDescent="0.25">
      <c r="A679" s="3"/>
      <c r="I679" s="3"/>
    </row>
    <row r="680" spans="1:9" x14ac:dyDescent="0.25">
      <c r="A680" s="3"/>
      <c r="I680" s="3"/>
    </row>
    <row r="681" spans="1:9" x14ac:dyDescent="0.25">
      <c r="A681" s="3"/>
      <c r="I681" s="3"/>
    </row>
    <row r="682" spans="1:9" x14ac:dyDescent="0.25">
      <c r="A682" s="3"/>
      <c r="I682" s="3"/>
    </row>
    <row r="683" spans="1:9" x14ac:dyDescent="0.25">
      <c r="A683" s="3"/>
      <c r="I683" s="3"/>
    </row>
    <row r="684" spans="1:9" x14ac:dyDescent="0.25">
      <c r="A684" s="3"/>
      <c r="I684" s="3"/>
    </row>
    <row r="685" spans="1:9" x14ac:dyDescent="0.25">
      <c r="A685" s="3"/>
      <c r="I685" s="3"/>
    </row>
    <row r="686" spans="1:9" x14ac:dyDescent="0.25">
      <c r="A686" s="3"/>
      <c r="I686" s="3"/>
    </row>
    <row r="687" spans="1:9" x14ac:dyDescent="0.25">
      <c r="A687" s="3"/>
      <c r="I687" s="3"/>
    </row>
    <row r="688" spans="1:9" x14ac:dyDescent="0.25">
      <c r="A688" s="3"/>
      <c r="I688" s="3"/>
    </row>
    <row r="689" spans="1:9" x14ac:dyDescent="0.25">
      <c r="A689" s="3"/>
      <c r="I689" s="3"/>
    </row>
    <row r="690" spans="1:9" x14ac:dyDescent="0.25">
      <c r="A690" s="3"/>
      <c r="I690" s="3"/>
    </row>
    <row r="691" spans="1:9" x14ac:dyDescent="0.25">
      <c r="A691" s="3"/>
      <c r="I691" s="3"/>
    </row>
    <row r="692" spans="1:9" x14ac:dyDescent="0.25">
      <c r="A692" s="3"/>
      <c r="I692" s="3"/>
    </row>
    <row r="693" spans="1:9" x14ac:dyDescent="0.25">
      <c r="A693" s="3"/>
      <c r="I693" s="3"/>
    </row>
    <row r="694" spans="1:9" x14ac:dyDescent="0.25">
      <c r="A694" s="3"/>
      <c r="I694" s="3"/>
    </row>
    <row r="695" spans="1:9" x14ac:dyDescent="0.25">
      <c r="A695" s="3"/>
      <c r="I695" s="3"/>
    </row>
    <row r="696" spans="1:9" x14ac:dyDescent="0.25">
      <c r="A696" s="3"/>
      <c r="I696" s="3"/>
    </row>
    <row r="697" spans="1:9" x14ac:dyDescent="0.25">
      <c r="A697" s="3"/>
      <c r="I697" s="3"/>
    </row>
    <row r="698" spans="1:9" x14ac:dyDescent="0.25">
      <c r="A698" s="3"/>
      <c r="I698" s="3"/>
    </row>
    <row r="699" spans="1:9" x14ac:dyDescent="0.25">
      <c r="A699" s="3"/>
      <c r="I699" s="3"/>
    </row>
    <row r="700" spans="1:9" x14ac:dyDescent="0.25">
      <c r="A700" s="3"/>
      <c r="I700" s="3"/>
    </row>
    <row r="701" spans="1:9" x14ac:dyDescent="0.25">
      <c r="A701" s="3"/>
      <c r="I701" s="3"/>
    </row>
    <row r="702" spans="1:9" x14ac:dyDescent="0.25">
      <c r="A702" s="3"/>
      <c r="I702" s="3"/>
    </row>
    <row r="703" spans="1:9" x14ac:dyDescent="0.25">
      <c r="A703" s="3"/>
      <c r="I703" s="3"/>
    </row>
    <row r="704" spans="1:9" x14ac:dyDescent="0.25">
      <c r="A704" s="3"/>
      <c r="I704" s="3"/>
    </row>
    <row r="705" spans="1:9" x14ac:dyDescent="0.25">
      <c r="A705" s="3"/>
      <c r="I705" s="3"/>
    </row>
    <row r="706" spans="1:9" x14ac:dyDescent="0.25">
      <c r="A706" s="3"/>
      <c r="I706" s="3"/>
    </row>
    <row r="707" spans="1:9" x14ac:dyDescent="0.25">
      <c r="A707" s="3"/>
      <c r="I707" s="3"/>
    </row>
    <row r="708" spans="1:9" x14ac:dyDescent="0.25">
      <c r="A708" s="3"/>
      <c r="I708" s="3"/>
    </row>
    <row r="709" spans="1:9" x14ac:dyDescent="0.25">
      <c r="A709" s="3"/>
      <c r="I709" s="3"/>
    </row>
    <row r="710" spans="1:9" x14ac:dyDescent="0.25">
      <c r="A710" s="3"/>
      <c r="I710" s="3"/>
    </row>
    <row r="711" spans="1:9" x14ac:dyDescent="0.25">
      <c r="A711" s="3"/>
      <c r="I711" s="3"/>
    </row>
    <row r="712" spans="1:9" x14ac:dyDescent="0.25">
      <c r="A712" s="3"/>
      <c r="I712" s="3"/>
    </row>
    <row r="713" spans="1:9" x14ac:dyDescent="0.25">
      <c r="A713" s="3"/>
      <c r="I713" s="3"/>
    </row>
    <row r="714" spans="1:9" x14ac:dyDescent="0.25">
      <c r="A714" s="3"/>
      <c r="I714" s="3"/>
    </row>
    <row r="715" spans="1:9" x14ac:dyDescent="0.25">
      <c r="A715" s="3"/>
      <c r="I715" s="3"/>
    </row>
    <row r="716" spans="1:9" x14ac:dyDescent="0.25">
      <c r="A716" s="3"/>
      <c r="I716" s="3"/>
    </row>
    <row r="717" spans="1:9" x14ac:dyDescent="0.25">
      <c r="A717" s="3"/>
      <c r="I717" s="3"/>
    </row>
    <row r="718" spans="1:9" x14ac:dyDescent="0.25">
      <c r="A718" s="3"/>
      <c r="I718" s="3"/>
    </row>
    <row r="719" spans="1:9" x14ac:dyDescent="0.25">
      <c r="A719" s="3"/>
      <c r="I719" s="3"/>
    </row>
    <row r="720" spans="1:9" x14ac:dyDescent="0.25">
      <c r="A720" s="3"/>
      <c r="I720" s="3"/>
    </row>
    <row r="721" spans="1:9" x14ac:dyDescent="0.25">
      <c r="A721" s="3"/>
      <c r="I721" s="3"/>
    </row>
    <row r="722" spans="1:9" x14ac:dyDescent="0.25">
      <c r="A722" s="3"/>
      <c r="I722" s="3"/>
    </row>
    <row r="723" spans="1:9" x14ac:dyDescent="0.25">
      <c r="A723" s="3"/>
      <c r="I723" s="3"/>
    </row>
    <row r="724" spans="1:9" x14ac:dyDescent="0.25">
      <c r="A724" s="3"/>
      <c r="I724" s="3"/>
    </row>
    <row r="725" spans="1:9" x14ac:dyDescent="0.25">
      <c r="A725" s="3"/>
      <c r="I725" s="3"/>
    </row>
    <row r="726" spans="1:9" x14ac:dyDescent="0.25">
      <c r="A726" s="3"/>
      <c r="I726" s="3"/>
    </row>
    <row r="727" spans="1:9" x14ac:dyDescent="0.25">
      <c r="A727" s="3"/>
      <c r="I727" s="3"/>
    </row>
    <row r="728" spans="1:9" x14ac:dyDescent="0.25">
      <c r="A728" s="3"/>
      <c r="I728" s="3"/>
    </row>
    <row r="729" spans="1:9" x14ac:dyDescent="0.25">
      <c r="A729" s="3"/>
      <c r="I729" s="3"/>
    </row>
    <row r="730" spans="1:9" x14ac:dyDescent="0.25">
      <c r="A730" s="3"/>
      <c r="I730" s="3"/>
    </row>
    <row r="731" spans="1:9" x14ac:dyDescent="0.25">
      <c r="A731" s="3"/>
      <c r="I731" s="3"/>
    </row>
    <row r="732" spans="1:9" x14ac:dyDescent="0.25">
      <c r="A732" s="3"/>
      <c r="I732" s="3"/>
    </row>
    <row r="733" spans="1:9" x14ac:dyDescent="0.25">
      <c r="A733" s="3"/>
      <c r="I733" s="3"/>
    </row>
    <row r="734" spans="1:9" x14ac:dyDescent="0.25">
      <c r="A734" s="3"/>
      <c r="I734" s="3"/>
    </row>
    <row r="735" spans="1:9" x14ac:dyDescent="0.25">
      <c r="A735" s="3"/>
      <c r="I735" s="3"/>
    </row>
    <row r="736" spans="1:9" x14ac:dyDescent="0.25">
      <c r="A736" s="3"/>
      <c r="I736" s="3"/>
    </row>
    <row r="737" spans="1:9" x14ac:dyDescent="0.25">
      <c r="A737" s="3"/>
      <c r="I737" s="3"/>
    </row>
    <row r="738" spans="1:9" x14ac:dyDescent="0.25">
      <c r="A738" s="3"/>
      <c r="I738" s="3"/>
    </row>
    <row r="739" spans="1:9" x14ac:dyDescent="0.25">
      <c r="A739" s="3"/>
      <c r="I739" s="3"/>
    </row>
    <row r="740" spans="1:9" x14ac:dyDescent="0.25">
      <c r="A740" s="3"/>
      <c r="I740" s="3"/>
    </row>
    <row r="741" spans="1:9" x14ac:dyDescent="0.25">
      <c r="A741" s="3"/>
      <c r="I741" s="3"/>
    </row>
    <row r="742" spans="1:9" x14ac:dyDescent="0.25">
      <c r="A742" s="3"/>
      <c r="I742" s="3"/>
    </row>
    <row r="743" spans="1:9" x14ac:dyDescent="0.25">
      <c r="A743" s="3"/>
      <c r="I743" s="3"/>
    </row>
    <row r="744" spans="1:9" x14ac:dyDescent="0.25">
      <c r="A744" s="3"/>
      <c r="I744" s="3"/>
    </row>
    <row r="745" spans="1:9" x14ac:dyDescent="0.25">
      <c r="A745" s="3"/>
      <c r="I745" s="3"/>
    </row>
    <row r="746" spans="1:9" x14ac:dyDescent="0.25">
      <c r="A746" s="3"/>
      <c r="I746" s="3"/>
    </row>
    <row r="747" spans="1:9" x14ac:dyDescent="0.25">
      <c r="A747" s="3"/>
      <c r="I747" s="3"/>
    </row>
    <row r="748" spans="1:9" x14ac:dyDescent="0.25">
      <c r="A748" s="3"/>
      <c r="I748" s="3"/>
    </row>
    <row r="749" spans="1:9" x14ac:dyDescent="0.25">
      <c r="A749" s="3"/>
      <c r="I749" s="3"/>
    </row>
    <row r="750" spans="1:9" x14ac:dyDescent="0.25">
      <c r="A750" s="3"/>
      <c r="I750" s="3"/>
    </row>
    <row r="751" spans="1:9" x14ac:dyDescent="0.25">
      <c r="A751" s="3"/>
      <c r="I751" s="3"/>
    </row>
    <row r="752" spans="1:9" x14ac:dyDescent="0.25">
      <c r="A752" s="3"/>
      <c r="I752" s="3"/>
    </row>
    <row r="753" spans="1:9" x14ac:dyDescent="0.25">
      <c r="A753" s="3"/>
      <c r="I753" s="3"/>
    </row>
    <row r="754" spans="1:9" x14ac:dyDescent="0.25">
      <c r="A754" s="3"/>
      <c r="I754" s="3"/>
    </row>
    <row r="755" spans="1:9" x14ac:dyDescent="0.25">
      <c r="A755" s="3"/>
      <c r="I755" s="3"/>
    </row>
    <row r="756" spans="1:9" x14ac:dyDescent="0.25">
      <c r="A756" s="3"/>
      <c r="I756" s="3"/>
    </row>
    <row r="757" spans="1:9" x14ac:dyDescent="0.25">
      <c r="A757" s="3"/>
      <c r="I757" s="3"/>
    </row>
    <row r="758" spans="1:9" x14ac:dyDescent="0.25">
      <c r="A758" s="3"/>
      <c r="I758" s="3"/>
    </row>
    <row r="759" spans="1:9" x14ac:dyDescent="0.25">
      <c r="A759" s="3"/>
      <c r="I759" s="3"/>
    </row>
    <row r="760" spans="1:9" x14ac:dyDescent="0.25">
      <c r="A760" s="3"/>
      <c r="I760" s="3"/>
    </row>
    <row r="761" spans="1:9" x14ac:dyDescent="0.25">
      <c r="A761" s="3"/>
      <c r="I761" s="3"/>
    </row>
    <row r="762" spans="1:9" x14ac:dyDescent="0.25">
      <c r="A762" s="3"/>
      <c r="I762" s="3"/>
    </row>
    <row r="763" spans="1:9" x14ac:dyDescent="0.25">
      <c r="A763" s="3"/>
      <c r="I763" s="3"/>
    </row>
    <row r="764" spans="1:9" x14ac:dyDescent="0.25">
      <c r="A764" s="3"/>
      <c r="I764" s="3"/>
    </row>
    <row r="765" spans="1:9" x14ac:dyDescent="0.25">
      <c r="A765" s="3"/>
      <c r="I765" s="3"/>
    </row>
    <row r="766" spans="1:9" x14ac:dyDescent="0.25">
      <c r="A766" s="3"/>
      <c r="I766" s="3"/>
    </row>
    <row r="767" spans="1:9" x14ac:dyDescent="0.25">
      <c r="A767" s="3"/>
      <c r="I767" s="3"/>
    </row>
    <row r="768" spans="1:9" x14ac:dyDescent="0.25">
      <c r="A768" s="3"/>
      <c r="I768" s="3"/>
    </row>
    <row r="769" spans="1:9" x14ac:dyDescent="0.25">
      <c r="A769" s="3"/>
      <c r="I769" s="3"/>
    </row>
    <row r="770" spans="1:9" x14ac:dyDescent="0.25">
      <c r="A770" s="3"/>
      <c r="I770" s="3"/>
    </row>
    <row r="771" spans="1:9" x14ac:dyDescent="0.25">
      <c r="A771" s="3"/>
      <c r="I771" s="3"/>
    </row>
    <row r="772" spans="1:9" x14ac:dyDescent="0.25">
      <c r="A772" s="3"/>
      <c r="I772" s="3"/>
    </row>
    <row r="773" spans="1:9" x14ac:dyDescent="0.25">
      <c r="A773" s="3"/>
      <c r="I773" s="3"/>
    </row>
    <row r="774" spans="1:9" x14ac:dyDescent="0.25">
      <c r="A774" s="3"/>
      <c r="I774" s="3"/>
    </row>
    <row r="775" spans="1:9" x14ac:dyDescent="0.25">
      <c r="A775" s="3"/>
      <c r="I775" s="3"/>
    </row>
    <row r="776" spans="1:9" x14ac:dyDescent="0.25">
      <c r="A776" s="3"/>
      <c r="I776" s="3"/>
    </row>
    <row r="777" spans="1:9" x14ac:dyDescent="0.25">
      <c r="A777" s="3"/>
      <c r="I777" s="3"/>
    </row>
    <row r="778" spans="1:9" x14ac:dyDescent="0.25">
      <c r="A778" s="3"/>
      <c r="I778" s="3"/>
    </row>
    <row r="779" spans="1:9" x14ac:dyDescent="0.25">
      <c r="A779" s="3"/>
      <c r="I779" s="3"/>
    </row>
    <row r="780" spans="1:9" x14ac:dyDescent="0.25">
      <c r="A780" s="3"/>
      <c r="I780" s="3"/>
    </row>
    <row r="781" spans="1:9" x14ac:dyDescent="0.25">
      <c r="A781" s="3"/>
      <c r="I781" s="3"/>
    </row>
    <row r="782" spans="1:9" x14ac:dyDescent="0.25">
      <c r="A782" s="3"/>
      <c r="I782" s="3"/>
    </row>
    <row r="783" spans="1:9" x14ac:dyDescent="0.25">
      <c r="A783" s="3"/>
      <c r="I783" s="3"/>
    </row>
    <row r="784" spans="1:9" x14ac:dyDescent="0.25">
      <c r="A784" s="3"/>
      <c r="I784" s="3"/>
    </row>
    <row r="785" spans="1:9" x14ac:dyDescent="0.25">
      <c r="A785" s="3"/>
      <c r="I785" s="3"/>
    </row>
    <row r="786" spans="1:9" x14ac:dyDescent="0.25">
      <c r="A786" s="3"/>
      <c r="I786" s="3"/>
    </row>
    <row r="787" spans="1:9" x14ac:dyDescent="0.25">
      <c r="A787" s="3"/>
      <c r="I787" s="3"/>
    </row>
    <row r="788" spans="1:9" x14ac:dyDescent="0.25">
      <c r="A788" s="3"/>
      <c r="I788" s="3"/>
    </row>
    <row r="789" spans="1:9" x14ac:dyDescent="0.25">
      <c r="A789" s="3"/>
      <c r="I789" s="3"/>
    </row>
    <row r="790" spans="1:9" x14ac:dyDescent="0.25">
      <c r="A790" s="3"/>
      <c r="I790" s="3"/>
    </row>
    <row r="791" spans="1:9" x14ac:dyDescent="0.25">
      <c r="A791" s="3"/>
      <c r="I791" s="3"/>
    </row>
    <row r="792" spans="1:9" x14ac:dyDescent="0.25">
      <c r="A792" s="3"/>
      <c r="I792" s="3"/>
    </row>
    <row r="793" spans="1:9" x14ac:dyDescent="0.25">
      <c r="A793" s="3"/>
      <c r="I793" s="3"/>
    </row>
    <row r="794" spans="1:9" x14ac:dyDescent="0.25">
      <c r="A794" s="3"/>
      <c r="I794" s="3"/>
    </row>
    <row r="795" spans="1:9" x14ac:dyDescent="0.25">
      <c r="A795" s="3"/>
      <c r="I795" s="3"/>
    </row>
    <row r="796" spans="1:9" x14ac:dyDescent="0.25">
      <c r="A796" s="3"/>
      <c r="I796" s="3"/>
    </row>
    <row r="797" spans="1:9" x14ac:dyDescent="0.25">
      <c r="A797" s="3"/>
      <c r="I797" s="3"/>
    </row>
    <row r="798" spans="1:9" x14ac:dyDescent="0.25">
      <c r="A798" s="3"/>
      <c r="I798" s="3"/>
    </row>
    <row r="799" spans="1:9" x14ac:dyDescent="0.25">
      <c r="A799" s="3"/>
      <c r="I799" s="3"/>
    </row>
    <row r="800" spans="1:9" x14ac:dyDescent="0.25">
      <c r="A800" s="3"/>
      <c r="I800" s="3"/>
    </row>
    <row r="801" spans="1:9" x14ac:dyDescent="0.25">
      <c r="A801" s="3"/>
      <c r="I801" s="3"/>
    </row>
    <row r="802" spans="1:9" x14ac:dyDescent="0.25">
      <c r="A802" s="3"/>
      <c r="I802" s="3"/>
    </row>
    <row r="803" spans="1:9" x14ac:dyDescent="0.25">
      <c r="A803" s="3"/>
      <c r="I803" s="3"/>
    </row>
    <row r="804" spans="1:9" x14ac:dyDescent="0.25">
      <c r="A804" s="3"/>
      <c r="I804" s="3"/>
    </row>
    <row r="805" spans="1:9" x14ac:dyDescent="0.25">
      <c r="A805" s="3"/>
      <c r="I805" s="3"/>
    </row>
    <row r="806" spans="1:9" x14ac:dyDescent="0.25">
      <c r="A806" s="3"/>
      <c r="I806" s="3"/>
    </row>
    <row r="807" spans="1:9" x14ac:dyDescent="0.25">
      <c r="A807" s="3"/>
      <c r="I807" s="3"/>
    </row>
    <row r="808" spans="1:9" x14ac:dyDescent="0.25">
      <c r="A808" s="3"/>
      <c r="I808" s="3"/>
    </row>
    <row r="809" spans="1:9" x14ac:dyDescent="0.25">
      <c r="A809" s="3"/>
      <c r="I809" s="3"/>
    </row>
    <row r="810" spans="1:9" x14ac:dyDescent="0.25">
      <c r="A810" s="3"/>
      <c r="I810" s="3"/>
    </row>
    <row r="811" spans="1:9" x14ac:dyDescent="0.25">
      <c r="A811" s="3"/>
      <c r="I811" s="3"/>
    </row>
    <row r="812" spans="1:9" x14ac:dyDescent="0.25">
      <c r="A812" s="3"/>
      <c r="I812" s="3"/>
    </row>
    <row r="813" spans="1:9" x14ac:dyDescent="0.25">
      <c r="A813" s="3"/>
      <c r="I813" s="3"/>
    </row>
    <row r="814" spans="1:9" x14ac:dyDescent="0.25">
      <c r="A814" s="3"/>
      <c r="I814" s="3"/>
    </row>
    <row r="815" spans="1:9" x14ac:dyDescent="0.25">
      <c r="A815" s="3"/>
      <c r="I815" s="3"/>
    </row>
    <row r="816" spans="1:9" x14ac:dyDescent="0.25">
      <c r="A816" s="3"/>
      <c r="I816" s="3"/>
    </row>
    <row r="817" spans="1:9" x14ac:dyDescent="0.25">
      <c r="A817" s="3"/>
      <c r="I817" s="3"/>
    </row>
    <row r="818" spans="1:9" x14ac:dyDescent="0.25">
      <c r="A818" s="3"/>
      <c r="I818" s="3"/>
    </row>
    <row r="819" spans="1:9" x14ac:dyDescent="0.25">
      <c r="A819" s="3"/>
      <c r="I819" s="3"/>
    </row>
    <row r="820" spans="1:9" x14ac:dyDescent="0.25">
      <c r="A820" s="3"/>
      <c r="I820" s="3"/>
    </row>
    <row r="821" spans="1:9" x14ac:dyDescent="0.25">
      <c r="A821" s="3"/>
      <c r="I821" s="3"/>
    </row>
    <row r="822" spans="1:9" x14ac:dyDescent="0.25">
      <c r="A822" s="3"/>
      <c r="I822" s="3"/>
    </row>
    <row r="823" spans="1:9" x14ac:dyDescent="0.25">
      <c r="A823" s="3"/>
      <c r="I823" s="3"/>
    </row>
    <row r="824" spans="1:9" x14ac:dyDescent="0.25">
      <c r="A824" s="3"/>
      <c r="I824" s="3"/>
    </row>
    <row r="825" spans="1:9" x14ac:dyDescent="0.25">
      <c r="A825" s="3"/>
      <c r="I825" s="3"/>
    </row>
    <row r="826" spans="1:9" x14ac:dyDescent="0.25">
      <c r="A826" s="3"/>
      <c r="I826" s="3"/>
    </row>
    <row r="827" spans="1:9" x14ac:dyDescent="0.25">
      <c r="A827" s="3"/>
      <c r="I827" s="3"/>
    </row>
    <row r="828" spans="1:9" x14ac:dyDescent="0.25">
      <c r="A828" s="3"/>
      <c r="I828" s="3"/>
    </row>
    <row r="829" spans="1:9" x14ac:dyDescent="0.25">
      <c r="A829" s="3"/>
      <c r="I829" s="3"/>
    </row>
    <row r="830" spans="1:9" x14ac:dyDescent="0.25">
      <c r="A830" s="3"/>
      <c r="I830" s="3"/>
    </row>
    <row r="831" spans="1:9" x14ac:dyDescent="0.25">
      <c r="A831" s="3"/>
      <c r="I831" s="3"/>
    </row>
    <row r="832" spans="1:9" x14ac:dyDescent="0.25">
      <c r="A832" s="3"/>
      <c r="I832" s="3"/>
    </row>
    <row r="833" spans="1:9" x14ac:dyDescent="0.25">
      <c r="A833" s="3"/>
      <c r="I833" s="3"/>
    </row>
    <row r="834" spans="1:9" x14ac:dyDescent="0.25">
      <c r="A834" s="3"/>
      <c r="I834" s="3"/>
    </row>
    <row r="835" spans="1:9" x14ac:dyDescent="0.25">
      <c r="A835" s="3"/>
      <c r="I835" s="3"/>
    </row>
    <row r="836" spans="1:9" x14ac:dyDescent="0.25">
      <c r="A836" s="3"/>
      <c r="I836" s="3"/>
    </row>
    <row r="837" spans="1:9" x14ac:dyDescent="0.25">
      <c r="A837" s="3"/>
      <c r="I837" s="3"/>
    </row>
    <row r="838" spans="1:9" x14ac:dyDescent="0.25">
      <c r="A838" s="3"/>
      <c r="I838" s="3"/>
    </row>
    <row r="839" spans="1:9" x14ac:dyDescent="0.25">
      <c r="A839" s="3"/>
      <c r="I839" s="3"/>
    </row>
    <row r="840" spans="1:9" x14ac:dyDescent="0.25">
      <c r="A840" s="3"/>
      <c r="I840" s="3"/>
    </row>
    <row r="841" spans="1:9" x14ac:dyDescent="0.25">
      <c r="A841" s="3"/>
      <c r="I841" s="3"/>
    </row>
    <row r="842" spans="1:9" x14ac:dyDescent="0.25">
      <c r="A842" s="3"/>
      <c r="I842" s="3"/>
    </row>
    <row r="843" spans="1:9" x14ac:dyDescent="0.25">
      <c r="A843" s="3"/>
      <c r="I843" s="3"/>
    </row>
    <row r="844" spans="1:9" x14ac:dyDescent="0.25">
      <c r="A844" s="3"/>
      <c r="I844" s="3"/>
    </row>
    <row r="845" spans="1:9" x14ac:dyDescent="0.25">
      <c r="A845" s="3"/>
      <c r="I845" s="3"/>
    </row>
    <row r="846" spans="1:9" x14ac:dyDescent="0.25">
      <c r="A846" s="3"/>
      <c r="I846" s="3"/>
    </row>
    <row r="847" spans="1:9" x14ac:dyDescent="0.25">
      <c r="A847" s="3"/>
      <c r="I847" s="3"/>
    </row>
    <row r="848" spans="1:9" x14ac:dyDescent="0.25">
      <c r="A848" s="3"/>
      <c r="I848" s="3"/>
    </row>
    <row r="849" spans="1:9" x14ac:dyDescent="0.25">
      <c r="A849" s="3"/>
      <c r="I849" s="3"/>
    </row>
    <row r="850" spans="1:9" x14ac:dyDescent="0.25">
      <c r="A850" s="3"/>
      <c r="I850" s="3"/>
    </row>
    <row r="851" spans="1:9" x14ac:dyDescent="0.25">
      <c r="A851" s="3"/>
      <c r="I851" s="3"/>
    </row>
    <row r="852" spans="1:9" x14ac:dyDescent="0.25">
      <c r="A852" s="3"/>
      <c r="I852" s="3"/>
    </row>
    <row r="853" spans="1:9" x14ac:dyDescent="0.25">
      <c r="A853" s="3"/>
      <c r="I853" s="3"/>
    </row>
    <row r="854" spans="1:9" x14ac:dyDescent="0.25">
      <c r="A854" s="3"/>
      <c r="I854" s="3"/>
    </row>
    <row r="855" spans="1:9" x14ac:dyDescent="0.25">
      <c r="A855" s="3"/>
      <c r="I855" s="3"/>
    </row>
    <row r="856" spans="1:9" x14ac:dyDescent="0.25">
      <c r="A856" s="3"/>
      <c r="I856" s="3"/>
    </row>
    <row r="857" spans="1:9" x14ac:dyDescent="0.25">
      <c r="A857" s="3"/>
      <c r="I857" s="3"/>
    </row>
    <row r="858" spans="1:9" x14ac:dyDescent="0.25">
      <c r="A858" s="3"/>
      <c r="I858" s="3"/>
    </row>
    <row r="859" spans="1:9" x14ac:dyDescent="0.25">
      <c r="A859" s="3"/>
      <c r="I859" s="3"/>
    </row>
    <row r="860" spans="1:9" x14ac:dyDescent="0.25">
      <c r="A860" s="3"/>
      <c r="I860" s="3"/>
    </row>
    <row r="861" spans="1:9" x14ac:dyDescent="0.25">
      <c r="A861" s="3"/>
      <c r="I861" s="3"/>
    </row>
    <row r="862" spans="1:9" x14ac:dyDescent="0.25">
      <c r="A862" s="3"/>
      <c r="I862" s="3"/>
    </row>
    <row r="863" spans="1:9" x14ac:dyDescent="0.25">
      <c r="A863" s="3"/>
      <c r="I863" s="3"/>
    </row>
    <row r="864" spans="1:9" x14ac:dyDescent="0.25">
      <c r="A864" s="3"/>
      <c r="I864" s="3"/>
    </row>
    <row r="865" spans="1:9" x14ac:dyDescent="0.25">
      <c r="A865" s="3"/>
      <c r="I865" s="3"/>
    </row>
    <row r="866" spans="1:9" x14ac:dyDescent="0.25">
      <c r="A866" s="3"/>
      <c r="I866" s="3"/>
    </row>
    <row r="867" spans="1:9" x14ac:dyDescent="0.25">
      <c r="A867" s="3"/>
      <c r="I867" s="3"/>
    </row>
    <row r="868" spans="1:9" x14ac:dyDescent="0.25">
      <c r="A868" s="3"/>
      <c r="I868" s="3"/>
    </row>
    <row r="869" spans="1:9" x14ac:dyDescent="0.25">
      <c r="A869" s="3"/>
      <c r="I869" s="3"/>
    </row>
    <row r="870" spans="1:9" x14ac:dyDescent="0.25">
      <c r="A870" s="3"/>
      <c r="I870" s="3"/>
    </row>
    <row r="871" spans="1:9" x14ac:dyDescent="0.25">
      <c r="A871" s="3"/>
      <c r="I871" s="3"/>
    </row>
    <row r="872" spans="1:9" x14ac:dyDescent="0.25">
      <c r="A872" s="3"/>
      <c r="I872" s="3"/>
    </row>
    <row r="873" spans="1:9" x14ac:dyDescent="0.25">
      <c r="A873" s="3"/>
      <c r="I873" s="3"/>
    </row>
    <row r="874" spans="1:9" x14ac:dyDescent="0.25">
      <c r="A874" s="3"/>
      <c r="I874" s="3"/>
    </row>
    <row r="875" spans="1:9" x14ac:dyDescent="0.25">
      <c r="A875" s="3"/>
      <c r="I875" s="3"/>
    </row>
    <row r="876" spans="1:9" x14ac:dyDescent="0.25">
      <c r="A876" s="3"/>
      <c r="I876" s="3"/>
    </row>
    <row r="877" spans="1:9" x14ac:dyDescent="0.25">
      <c r="A877" s="3"/>
      <c r="I877" s="3"/>
    </row>
    <row r="878" spans="1:9" x14ac:dyDescent="0.25">
      <c r="A878" s="3"/>
      <c r="I878" s="3"/>
    </row>
    <row r="879" spans="1:9" x14ac:dyDescent="0.25">
      <c r="A879" s="3"/>
      <c r="I879" s="3"/>
    </row>
    <row r="880" spans="1:9" x14ac:dyDescent="0.25">
      <c r="A880" s="3"/>
      <c r="I880" s="3"/>
    </row>
    <row r="881" spans="1:9" x14ac:dyDescent="0.25">
      <c r="A881" s="3"/>
      <c r="I881" s="3"/>
    </row>
    <row r="882" spans="1:9" x14ac:dyDescent="0.25">
      <c r="A882" s="3"/>
      <c r="I882" s="3"/>
    </row>
    <row r="883" spans="1:9" x14ac:dyDescent="0.25">
      <c r="A883" s="3"/>
      <c r="I883" s="3"/>
    </row>
    <row r="884" spans="1:9" x14ac:dyDescent="0.25">
      <c r="A884" s="3"/>
      <c r="I884" s="3"/>
    </row>
    <row r="885" spans="1:9" x14ac:dyDescent="0.25">
      <c r="A885" s="3"/>
      <c r="I885" s="3"/>
    </row>
    <row r="886" spans="1:9" x14ac:dyDescent="0.25">
      <c r="A886" s="3"/>
      <c r="I886" s="3"/>
    </row>
    <row r="887" spans="1:9" x14ac:dyDescent="0.25">
      <c r="A887" s="3"/>
      <c r="I887" s="3"/>
    </row>
    <row r="888" spans="1:9" x14ac:dyDescent="0.25">
      <c r="A888" s="3"/>
      <c r="I888" s="3"/>
    </row>
    <row r="889" spans="1:9" x14ac:dyDescent="0.25">
      <c r="A889" s="3"/>
      <c r="I889" s="3"/>
    </row>
    <row r="890" spans="1:9" x14ac:dyDescent="0.25">
      <c r="A890" s="3"/>
      <c r="I890" s="3"/>
    </row>
    <row r="891" spans="1:9" x14ac:dyDescent="0.25">
      <c r="A891" s="3"/>
      <c r="I891" s="3"/>
    </row>
    <row r="892" spans="1:9" x14ac:dyDescent="0.25">
      <c r="A892" s="3"/>
      <c r="I892" s="3"/>
    </row>
    <row r="893" spans="1:9" x14ac:dyDescent="0.25">
      <c r="A893" s="3"/>
      <c r="I893" s="3"/>
    </row>
    <row r="894" spans="1:9" x14ac:dyDescent="0.25">
      <c r="A894" s="3"/>
      <c r="I894" s="3"/>
    </row>
    <row r="895" spans="1:9" x14ac:dyDescent="0.25">
      <c r="A895" s="3"/>
      <c r="I895" s="3"/>
    </row>
    <row r="896" spans="1:9" x14ac:dyDescent="0.25">
      <c r="A896" s="3"/>
      <c r="I896" s="3"/>
    </row>
    <row r="897" spans="1:9" x14ac:dyDescent="0.25">
      <c r="A897" s="3"/>
      <c r="I897" s="3"/>
    </row>
    <row r="898" spans="1:9" x14ac:dyDescent="0.25">
      <c r="A898" s="3"/>
      <c r="I898" s="3"/>
    </row>
    <row r="899" spans="1:9" x14ac:dyDescent="0.25">
      <c r="A899" s="3"/>
      <c r="I899" s="3"/>
    </row>
    <row r="900" spans="1:9" x14ac:dyDescent="0.25">
      <c r="A900" s="3"/>
      <c r="I900" s="3"/>
    </row>
    <row r="901" spans="1:9" x14ac:dyDescent="0.25">
      <c r="A901" s="3"/>
      <c r="I901" s="3"/>
    </row>
    <row r="902" spans="1:9" x14ac:dyDescent="0.25">
      <c r="A902" s="3"/>
      <c r="I902" s="3"/>
    </row>
    <row r="903" spans="1:9" x14ac:dyDescent="0.25">
      <c r="A903" s="3"/>
      <c r="I903" s="3"/>
    </row>
    <row r="904" spans="1:9" x14ac:dyDescent="0.25">
      <c r="A904" s="3"/>
      <c r="I904" s="3"/>
    </row>
    <row r="905" spans="1:9" x14ac:dyDescent="0.25">
      <c r="A905" s="3"/>
      <c r="I905" s="3"/>
    </row>
    <row r="906" spans="1:9" x14ac:dyDescent="0.25">
      <c r="A906" s="3"/>
      <c r="I906" s="3"/>
    </row>
    <row r="907" spans="1:9" x14ac:dyDescent="0.25">
      <c r="A907" s="3"/>
      <c r="I907" s="3"/>
    </row>
    <row r="908" spans="1:9" x14ac:dyDescent="0.25">
      <c r="A908" s="3"/>
      <c r="I908" s="3"/>
    </row>
    <row r="909" spans="1:9" x14ac:dyDescent="0.25">
      <c r="A909" s="3"/>
      <c r="I909" s="3"/>
    </row>
    <row r="910" spans="1:9" x14ac:dyDescent="0.25">
      <c r="A910" s="3"/>
      <c r="I910" s="3"/>
    </row>
    <row r="911" spans="1:9" x14ac:dyDescent="0.25">
      <c r="A911" s="3"/>
      <c r="I911" s="3"/>
    </row>
    <row r="912" spans="1:9" x14ac:dyDescent="0.25">
      <c r="A912" s="3"/>
      <c r="I912" s="3"/>
    </row>
    <row r="913" spans="1:9" x14ac:dyDescent="0.25">
      <c r="A913" s="3"/>
      <c r="I913" s="3"/>
    </row>
    <row r="914" spans="1:9" x14ac:dyDescent="0.25">
      <c r="A914" s="3"/>
      <c r="I914" s="3"/>
    </row>
    <row r="915" spans="1:9" x14ac:dyDescent="0.25">
      <c r="A915" s="3"/>
      <c r="I915" s="3"/>
    </row>
    <row r="916" spans="1:9" x14ac:dyDescent="0.25">
      <c r="A916" s="3"/>
      <c r="I916" s="3"/>
    </row>
    <row r="917" spans="1:9" x14ac:dyDescent="0.25">
      <c r="A917" s="3"/>
      <c r="I917" s="3"/>
    </row>
    <row r="918" spans="1:9" x14ac:dyDescent="0.25">
      <c r="A918" s="3"/>
      <c r="I918" s="3"/>
    </row>
    <row r="919" spans="1:9" x14ac:dyDescent="0.25">
      <c r="A919" s="3"/>
      <c r="I919" s="3"/>
    </row>
    <row r="920" spans="1:9" x14ac:dyDescent="0.25">
      <c r="A920" s="3"/>
      <c r="I920" s="3"/>
    </row>
    <row r="921" spans="1:9" x14ac:dyDescent="0.25">
      <c r="A921" s="3"/>
      <c r="I921" s="3"/>
    </row>
    <row r="922" spans="1:9" x14ac:dyDescent="0.25">
      <c r="A922" s="3"/>
      <c r="I922" s="3"/>
    </row>
    <row r="923" spans="1:9" x14ac:dyDescent="0.25">
      <c r="A923" s="3"/>
      <c r="I923" s="3"/>
    </row>
    <row r="924" spans="1:9" x14ac:dyDescent="0.25">
      <c r="A924" s="3"/>
      <c r="I924" s="3"/>
    </row>
    <row r="925" spans="1:9" x14ac:dyDescent="0.25">
      <c r="A925" s="3"/>
      <c r="I925" s="3"/>
    </row>
    <row r="926" spans="1:9" x14ac:dyDescent="0.25">
      <c r="A926" s="3"/>
      <c r="I926" s="3"/>
    </row>
    <row r="927" spans="1:9" x14ac:dyDescent="0.25">
      <c r="A927" s="3"/>
      <c r="I927" s="3"/>
    </row>
    <row r="928" spans="1:9" x14ac:dyDescent="0.25">
      <c r="A928" s="3"/>
      <c r="I928" s="3"/>
    </row>
    <row r="929" spans="1:9" x14ac:dyDescent="0.25">
      <c r="A929" s="3"/>
      <c r="I929" s="3"/>
    </row>
    <row r="930" spans="1:9" x14ac:dyDescent="0.25">
      <c r="A930" s="3"/>
      <c r="I930" s="3"/>
    </row>
    <row r="931" spans="1:9" x14ac:dyDescent="0.25">
      <c r="A931" s="3"/>
      <c r="I931" s="3"/>
    </row>
    <row r="932" spans="1:9" x14ac:dyDescent="0.25">
      <c r="A932" s="3"/>
      <c r="I932" s="3"/>
    </row>
    <row r="933" spans="1:9" x14ac:dyDescent="0.25">
      <c r="A933" s="3"/>
      <c r="I933" s="3"/>
    </row>
    <row r="934" spans="1:9" x14ac:dyDescent="0.25">
      <c r="A934" s="3"/>
      <c r="I934" s="3"/>
    </row>
    <row r="935" spans="1:9" x14ac:dyDescent="0.25">
      <c r="A935" s="3"/>
      <c r="I935" s="3"/>
    </row>
    <row r="936" spans="1:9" x14ac:dyDescent="0.25">
      <c r="A936" s="3"/>
      <c r="I936" s="3"/>
    </row>
    <row r="937" spans="1:9" x14ac:dyDescent="0.25">
      <c r="A937" s="3"/>
      <c r="I937" s="3"/>
    </row>
    <row r="938" spans="1:9" x14ac:dyDescent="0.25">
      <c r="A938" s="3"/>
      <c r="I938" s="3"/>
    </row>
    <row r="939" spans="1:9" x14ac:dyDescent="0.25">
      <c r="A939" s="3"/>
      <c r="I939" s="3"/>
    </row>
    <row r="940" spans="1:9" x14ac:dyDescent="0.25">
      <c r="A940" s="3"/>
      <c r="I940" s="3"/>
    </row>
    <row r="941" spans="1:9" x14ac:dyDescent="0.25">
      <c r="A941" s="3"/>
      <c r="I941" s="3"/>
    </row>
    <row r="942" spans="1:9" x14ac:dyDescent="0.25">
      <c r="A942" s="3"/>
      <c r="I942" s="3"/>
    </row>
    <row r="943" spans="1:9" x14ac:dyDescent="0.25">
      <c r="A943" s="3"/>
      <c r="I943" s="3"/>
    </row>
    <row r="944" spans="1:9" x14ac:dyDescent="0.25">
      <c r="A944" s="3"/>
      <c r="I944" s="3"/>
    </row>
    <row r="945" spans="1:9" x14ac:dyDescent="0.25">
      <c r="A945" s="3"/>
      <c r="I945" s="3"/>
    </row>
    <row r="946" spans="1:9" x14ac:dyDescent="0.25">
      <c r="A946" s="3"/>
      <c r="I946" s="3"/>
    </row>
    <row r="947" spans="1:9" x14ac:dyDescent="0.25">
      <c r="A947" s="3"/>
      <c r="I947" s="3"/>
    </row>
    <row r="948" spans="1:9" x14ac:dyDescent="0.25">
      <c r="A948" s="3"/>
      <c r="I948" s="3"/>
    </row>
    <row r="949" spans="1:9" x14ac:dyDescent="0.25">
      <c r="A949" s="3"/>
      <c r="I949" s="3"/>
    </row>
    <row r="950" spans="1:9" x14ac:dyDescent="0.25">
      <c r="A950" s="3"/>
      <c r="I950" s="3"/>
    </row>
    <row r="951" spans="1:9" x14ac:dyDescent="0.25">
      <c r="A951" s="3"/>
      <c r="I951" s="3"/>
    </row>
    <row r="952" spans="1:9" x14ac:dyDescent="0.25">
      <c r="A952" s="3"/>
      <c r="I952" s="3"/>
    </row>
    <row r="953" spans="1:9" x14ac:dyDescent="0.25">
      <c r="A953" s="3"/>
      <c r="I953" s="3"/>
    </row>
    <row r="954" spans="1:9" x14ac:dyDescent="0.25">
      <c r="A954" s="3"/>
      <c r="I954" s="3"/>
    </row>
    <row r="955" spans="1:9" x14ac:dyDescent="0.25">
      <c r="A955" s="3"/>
      <c r="I955" s="3"/>
    </row>
    <row r="956" spans="1:9" x14ac:dyDescent="0.25">
      <c r="A956" s="3"/>
      <c r="I956" s="3"/>
    </row>
    <row r="957" spans="1:9" x14ac:dyDescent="0.25">
      <c r="A957" s="3"/>
      <c r="I957" s="3"/>
    </row>
    <row r="958" spans="1:9" x14ac:dyDescent="0.25">
      <c r="A958" s="3"/>
      <c r="I958" s="3"/>
    </row>
    <row r="959" spans="1:9" x14ac:dyDescent="0.25">
      <c r="A959" s="3"/>
      <c r="I959" s="3"/>
    </row>
    <row r="960" spans="1:9" x14ac:dyDescent="0.25">
      <c r="A960" s="3"/>
      <c r="I960" s="3"/>
    </row>
    <row r="961" spans="1:9" x14ac:dyDescent="0.25">
      <c r="A961" s="3"/>
      <c r="I961" s="3"/>
    </row>
    <row r="962" spans="1:9" x14ac:dyDescent="0.25">
      <c r="A962" s="3"/>
      <c r="I962" s="3"/>
    </row>
    <row r="963" spans="1:9" x14ac:dyDescent="0.25">
      <c r="A963" s="3"/>
      <c r="I963" s="3"/>
    </row>
    <row r="964" spans="1:9" x14ac:dyDescent="0.25">
      <c r="A964" s="3"/>
      <c r="I964" s="3"/>
    </row>
    <row r="965" spans="1:9" x14ac:dyDescent="0.25">
      <c r="A965" s="3"/>
      <c r="I965" s="3"/>
    </row>
    <row r="966" spans="1:9" x14ac:dyDescent="0.25">
      <c r="A966" s="3"/>
      <c r="I966" s="3"/>
    </row>
    <row r="967" spans="1:9" x14ac:dyDescent="0.25">
      <c r="A967" s="3"/>
      <c r="I967" s="3"/>
    </row>
    <row r="968" spans="1:9" x14ac:dyDescent="0.25">
      <c r="A968" s="3"/>
      <c r="I968" s="3"/>
    </row>
    <row r="969" spans="1:9" x14ac:dyDescent="0.25">
      <c r="A969" s="3"/>
      <c r="I969" s="3"/>
    </row>
    <row r="970" spans="1:9" x14ac:dyDescent="0.25">
      <c r="A970" s="3"/>
      <c r="I970" s="3"/>
    </row>
    <row r="971" spans="1:9" x14ac:dyDescent="0.25">
      <c r="A971" s="3"/>
      <c r="I971" s="3"/>
    </row>
    <row r="972" spans="1:9" x14ac:dyDescent="0.25">
      <c r="A972" s="3"/>
      <c r="I972" s="3"/>
    </row>
    <row r="973" spans="1:9" x14ac:dyDescent="0.25">
      <c r="A973" s="3"/>
      <c r="I973" s="3"/>
    </row>
    <row r="974" spans="1:9" x14ac:dyDescent="0.25">
      <c r="A974" s="3"/>
      <c r="I974" s="3"/>
    </row>
    <row r="975" spans="1:9" x14ac:dyDescent="0.25">
      <c r="A975" s="3"/>
      <c r="I975" s="3"/>
    </row>
    <row r="976" spans="1:9" x14ac:dyDescent="0.25">
      <c r="A976" s="3"/>
      <c r="I976" s="3"/>
    </row>
    <row r="977" spans="1:9" x14ac:dyDescent="0.25">
      <c r="A977" s="3"/>
      <c r="I977" s="3"/>
    </row>
    <row r="978" spans="1:9" x14ac:dyDescent="0.25">
      <c r="A978" s="3"/>
      <c r="I978" s="3"/>
    </row>
    <row r="979" spans="1:9" x14ac:dyDescent="0.25">
      <c r="A979" s="3"/>
      <c r="I979" s="3"/>
    </row>
    <row r="980" spans="1:9" x14ac:dyDescent="0.25">
      <c r="A980" s="3"/>
      <c r="I980" s="3"/>
    </row>
    <row r="981" spans="1:9" x14ac:dyDescent="0.25">
      <c r="A981" s="3"/>
      <c r="I981" s="3"/>
    </row>
    <row r="982" spans="1:9" x14ac:dyDescent="0.25">
      <c r="A982" s="3"/>
      <c r="I982" s="3"/>
    </row>
    <row r="983" spans="1:9" x14ac:dyDescent="0.25">
      <c r="A983" s="3"/>
      <c r="I983" s="3"/>
    </row>
    <row r="984" spans="1:9" x14ac:dyDescent="0.25">
      <c r="A984" s="3"/>
      <c r="I984" s="3"/>
    </row>
    <row r="985" spans="1:9" x14ac:dyDescent="0.25">
      <c r="A985" s="3"/>
      <c r="I985" s="3"/>
    </row>
    <row r="986" spans="1:9" x14ac:dyDescent="0.25">
      <c r="A986" s="3"/>
      <c r="I986" s="3"/>
    </row>
    <row r="987" spans="1:9" x14ac:dyDescent="0.25">
      <c r="A987" s="3"/>
      <c r="I987" s="3"/>
    </row>
    <row r="988" spans="1:9" x14ac:dyDescent="0.25">
      <c r="A988" s="3"/>
      <c r="I988" s="3"/>
    </row>
    <row r="989" spans="1:9" x14ac:dyDescent="0.25">
      <c r="A989" s="3"/>
      <c r="I989" s="3"/>
    </row>
    <row r="990" spans="1:9" x14ac:dyDescent="0.25">
      <c r="A990" s="3"/>
      <c r="I990" s="3"/>
    </row>
    <row r="991" spans="1:9" x14ac:dyDescent="0.25">
      <c r="A991" s="3"/>
      <c r="I991" s="3"/>
    </row>
    <row r="992" spans="1:9" x14ac:dyDescent="0.25">
      <c r="A992" s="3"/>
      <c r="I992" s="3"/>
    </row>
    <row r="993" spans="1:9" x14ac:dyDescent="0.25">
      <c r="A993" s="3"/>
      <c r="I993" s="3"/>
    </row>
    <row r="994" spans="1:9" x14ac:dyDescent="0.25">
      <c r="A994" s="3"/>
      <c r="I994" s="3"/>
    </row>
    <row r="995" spans="1:9" x14ac:dyDescent="0.25">
      <c r="A995" s="3"/>
      <c r="I995" s="3"/>
    </row>
    <row r="996" spans="1:9" x14ac:dyDescent="0.25">
      <c r="A996" s="3"/>
      <c r="I996" s="3"/>
    </row>
    <row r="997" spans="1:9" x14ac:dyDescent="0.25">
      <c r="A997" s="3"/>
      <c r="I997" s="3"/>
    </row>
    <row r="998" spans="1:9" x14ac:dyDescent="0.25">
      <c r="A998" s="3"/>
      <c r="I998" s="3"/>
    </row>
    <row r="999" spans="1:9" x14ac:dyDescent="0.25">
      <c r="A999" s="3"/>
      <c r="I999" s="3"/>
    </row>
    <row r="1000" spans="1:9" x14ac:dyDescent="0.25">
      <c r="A1000" s="3"/>
      <c r="I1000" s="3"/>
    </row>
    <row r="1001" spans="1:9" x14ac:dyDescent="0.25">
      <c r="A1001" s="3"/>
      <c r="I1001" s="3"/>
    </row>
    <row r="1002" spans="1:9" x14ac:dyDescent="0.25">
      <c r="A1002" s="3"/>
      <c r="I1002" s="3"/>
    </row>
    <row r="1003" spans="1:9" x14ac:dyDescent="0.25">
      <c r="A1003" s="3"/>
      <c r="I1003" s="3"/>
    </row>
    <row r="1004" spans="1:9" x14ac:dyDescent="0.25">
      <c r="A1004" s="3"/>
      <c r="I1004" s="3"/>
    </row>
    <row r="1005" spans="1:9" x14ac:dyDescent="0.25">
      <c r="A1005" s="3"/>
      <c r="I1005" s="3"/>
    </row>
    <row r="1006" spans="1:9" x14ac:dyDescent="0.25">
      <c r="A1006" s="3"/>
      <c r="I1006" s="3"/>
    </row>
    <row r="1007" spans="1:9" x14ac:dyDescent="0.25">
      <c r="A1007" s="3"/>
      <c r="I1007" s="3"/>
    </row>
    <row r="1008" spans="1:9" x14ac:dyDescent="0.25">
      <c r="A1008" s="3"/>
      <c r="I1008" s="3"/>
    </row>
    <row r="1009" spans="1:9" x14ac:dyDescent="0.25">
      <c r="A1009" s="3"/>
      <c r="I1009" s="3"/>
    </row>
    <row r="1010" spans="1:9" x14ac:dyDescent="0.25">
      <c r="A1010" s="3"/>
      <c r="I1010" s="3"/>
    </row>
    <row r="1011" spans="1:9" x14ac:dyDescent="0.25">
      <c r="A1011" s="3"/>
      <c r="I1011" s="3"/>
    </row>
    <row r="1012" spans="1:9" x14ac:dyDescent="0.25">
      <c r="A1012" s="3"/>
      <c r="I1012" s="3"/>
    </row>
    <row r="1013" spans="1:9" x14ac:dyDescent="0.25">
      <c r="A1013" s="3"/>
      <c r="I1013" s="3"/>
    </row>
    <row r="1014" spans="1:9" x14ac:dyDescent="0.25">
      <c r="A1014" s="3"/>
      <c r="I1014" s="3"/>
    </row>
    <row r="1015" spans="1:9" x14ac:dyDescent="0.25">
      <c r="A1015" s="3"/>
      <c r="I1015" s="3"/>
    </row>
    <row r="1016" spans="1:9" x14ac:dyDescent="0.25">
      <c r="A1016" s="3"/>
      <c r="I1016" s="3"/>
    </row>
    <row r="1017" spans="1:9" x14ac:dyDescent="0.25">
      <c r="A1017" s="3"/>
      <c r="I1017" s="3"/>
    </row>
    <row r="1018" spans="1:9" x14ac:dyDescent="0.25">
      <c r="A1018" s="3"/>
      <c r="I1018" s="3"/>
    </row>
    <row r="1019" spans="1:9" x14ac:dyDescent="0.25">
      <c r="A1019" s="3"/>
      <c r="I1019" s="3"/>
    </row>
    <row r="1020" spans="1:9" x14ac:dyDescent="0.25">
      <c r="A1020" s="3"/>
      <c r="I1020" s="3"/>
    </row>
    <row r="1021" spans="1:9" x14ac:dyDescent="0.25">
      <c r="A1021" s="3"/>
      <c r="I1021" s="3"/>
    </row>
    <row r="1022" spans="1:9" x14ac:dyDescent="0.25">
      <c r="A1022" s="3"/>
      <c r="I1022" s="3"/>
    </row>
    <row r="1023" spans="1:9" x14ac:dyDescent="0.25">
      <c r="A1023" s="3"/>
      <c r="I1023" s="3"/>
    </row>
    <row r="1024" spans="1:9" x14ac:dyDescent="0.25">
      <c r="A1024" s="3"/>
      <c r="I1024" s="3"/>
    </row>
    <row r="1025" spans="1:9" x14ac:dyDescent="0.25">
      <c r="A1025" s="3"/>
      <c r="I1025" s="3"/>
    </row>
    <row r="1026" spans="1:9" x14ac:dyDescent="0.25">
      <c r="A1026" s="3"/>
      <c r="I1026" s="3"/>
    </row>
    <row r="1027" spans="1:9" x14ac:dyDescent="0.25">
      <c r="A1027" s="3"/>
      <c r="I1027" s="3"/>
    </row>
    <row r="1028" spans="1:9" x14ac:dyDescent="0.25">
      <c r="A1028" s="3"/>
      <c r="I1028" s="3"/>
    </row>
    <row r="1029" spans="1:9" x14ac:dyDescent="0.25">
      <c r="A1029" s="3"/>
      <c r="I1029" s="3"/>
    </row>
    <row r="1030" spans="1:9" x14ac:dyDescent="0.25">
      <c r="A1030" s="3"/>
      <c r="I1030" s="3"/>
    </row>
    <row r="1031" spans="1:9" x14ac:dyDescent="0.25">
      <c r="A1031" s="3"/>
      <c r="I1031" s="3"/>
    </row>
    <row r="1032" spans="1:9" x14ac:dyDescent="0.25">
      <c r="A1032" s="3"/>
      <c r="I1032" s="3"/>
    </row>
    <row r="1033" spans="1:9" x14ac:dyDescent="0.25">
      <c r="A1033" s="3"/>
      <c r="I1033" s="3"/>
    </row>
    <row r="1034" spans="1:9" x14ac:dyDescent="0.25">
      <c r="A1034" s="3"/>
      <c r="I1034" s="3"/>
    </row>
    <row r="1035" spans="1:9" x14ac:dyDescent="0.25">
      <c r="A1035" s="3"/>
      <c r="I1035" s="3"/>
    </row>
    <row r="1036" spans="1:9" x14ac:dyDescent="0.25">
      <c r="A1036" s="3"/>
      <c r="I1036" s="3"/>
    </row>
    <row r="1037" spans="1:9" x14ac:dyDescent="0.25">
      <c r="A1037" s="3"/>
      <c r="I1037" s="3"/>
    </row>
    <row r="1038" spans="1:9" x14ac:dyDescent="0.25">
      <c r="A1038" s="3"/>
      <c r="I1038" s="3"/>
    </row>
    <row r="1039" spans="1:9" x14ac:dyDescent="0.25">
      <c r="A1039" s="3"/>
      <c r="I1039" s="3"/>
    </row>
    <row r="1040" spans="1:9" x14ac:dyDescent="0.25">
      <c r="A1040" s="3"/>
      <c r="I1040" s="3"/>
    </row>
    <row r="1041" spans="1:9" x14ac:dyDescent="0.25">
      <c r="A1041" s="3"/>
      <c r="I1041" s="3"/>
    </row>
    <row r="1042" spans="1:9" x14ac:dyDescent="0.25">
      <c r="A1042" s="3"/>
      <c r="I1042" s="3"/>
    </row>
    <row r="1043" spans="1:9" x14ac:dyDescent="0.25">
      <c r="A1043" s="3"/>
      <c r="I1043" s="3"/>
    </row>
    <row r="1044" spans="1:9" x14ac:dyDescent="0.25">
      <c r="A1044" s="3"/>
      <c r="I1044" s="3"/>
    </row>
    <row r="1045" spans="1:9" x14ac:dyDescent="0.25">
      <c r="A1045" s="3"/>
      <c r="I1045" s="3"/>
    </row>
    <row r="1046" spans="1:9" x14ac:dyDescent="0.25">
      <c r="A1046" s="3"/>
      <c r="I1046" s="3"/>
    </row>
    <row r="1047" spans="1:9" x14ac:dyDescent="0.25">
      <c r="A1047" s="3"/>
      <c r="I1047" s="3"/>
    </row>
    <row r="1048" spans="1:9" x14ac:dyDescent="0.25">
      <c r="A1048" s="3"/>
      <c r="I1048" s="3"/>
    </row>
    <row r="1049" spans="1:9" x14ac:dyDescent="0.25">
      <c r="A1049" s="3"/>
      <c r="I1049" s="3"/>
    </row>
    <row r="1050" spans="1:9" x14ac:dyDescent="0.25">
      <c r="A1050" s="3"/>
      <c r="I1050" s="3"/>
    </row>
    <row r="1051" spans="1:9" x14ac:dyDescent="0.25">
      <c r="A1051" s="3"/>
      <c r="I1051" s="3"/>
    </row>
    <row r="1052" spans="1:9" x14ac:dyDescent="0.25">
      <c r="A1052" s="3"/>
      <c r="I1052" s="3"/>
    </row>
    <row r="1053" spans="1:9" x14ac:dyDescent="0.25">
      <c r="A1053" s="3"/>
      <c r="I1053" s="3"/>
    </row>
    <row r="1054" spans="1:9" x14ac:dyDescent="0.25">
      <c r="A1054" s="3"/>
      <c r="I1054" s="3"/>
    </row>
    <row r="1055" spans="1:9" x14ac:dyDescent="0.25">
      <c r="A1055" s="3"/>
      <c r="I1055" s="3"/>
    </row>
    <row r="1056" spans="1:9" x14ac:dyDescent="0.25">
      <c r="A1056" s="3"/>
      <c r="I1056" s="3"/>
    </row>
    <row r="1057" spans="1:9" x14ac:dyDescent="0.25">
      <c r="A1057" s="3"/>
      <c r="I1057" s="3"/>
    </row>
    <row r="1058" spans="1:9" x14ac:dyDescent="0.25">
      <c r="A1058" s="3"/>
      <c r="I1058" s="3"/>
    </row>
    <row r="1059" spans="1:9" x14ac:dyDescent="0.25">
      <c r="A1059" s="3"/>
      <c r="I1059" s="3"/>
    </row>
    <row r="1060" spans="1:9" x14ac:dyDescent="0.25">
      <c r="A1060" s="3"/>
      <c r="I1060" s="3"/>
    </row>
    <row r="1061" spans="1:9" x14ac:dyDescent="0.25">
      <c r="A1061" s="3"/>
      <c r="I1061" s="3"/>
    </row>
    <row r="1062" spans="1:9" x14ac:dyDescent="0.25">
      <c r="A1062" s="3"/>
      <c r="I1062" s="3"/>
    </row>
    <row r="1063" spans="1:9" x14ac:dyDescent="0.25">
      <c r="A1063" s="3"/>
      <c r="I1063" s="3"/>
    </row>
    <row r="1064" spans="1:9" x14ac:dyDescent="0.25">
      <c r="A1064" s="3"/>
      <c r="I1064" s="3"/>
    </row>
    <row r="1065" spans="1:9" x14ac:dyDescent="0.25">
      <c r="A1065" s="3"/>
      <c r="I1065" s="3"/>
    </row>
    <row r="1066" spans="1:9" x14ac:dyDescent="0.25">
      <c r="A1066" s="3"/>
      <c r="I1066" s="3"/>
    </row>
    <row r="1067" spans="1:9" x14ac:dyDescent="0.25">
      <c r="A1067" s="3"/>
      <c r="I1067" s="3"/>
    </row>
    <row r="1068" spans="1:9" x14ac:dyDescent="0.25">
      <c r="A1068" s="3"/>
      <c r="I1068" s="3"/>
    </row>
    <row r="1069" spans="1:9" x14ac:dyDescent="0.25">
      <c r="A1069" s="3"/>
      <c r="I1069" s="3"/>
    </row>
    <row r="1070" spans="1:9" x14ac:dyDescent="0.25">
      <c r="A1070" s="3"/>
      <c r="I1070" s="3"/>
    </row>
    <row r="1071" spans="1:9" x14ac:dyDescent="0.25">
      <c r="A1071" s="3"/>
      <c r="I1071" s="3"/>
    </row>
    <row r="1072" spans="1:9" x14ac:dyDescent="0.25">
      <c r="A1072" s="3"/>
      <c r="I1072" s="3"/>
    </row>
    <row r="1073" spans="1:9" x14ac:dyDescent="0.25">
      <c r="A1073" s="3"/>
      <c r="I1073" s="3"/>
    </row>
    <row r="1074" spans="1:9" x14ac:dyDescent="0.25">
      <c r="A1074" s="3"/>
      <c r="I1074" s="3"/>
    </row>
    <row r="1075" spans="1:9" x14ac:dyDescent="0.25">
      <c r="A1075" s="3"/>
      <c r="I1075" s="3"/>
    </row>
    <row r="1076" spans="1:9" x14ac:dyDescent="0.25">
      <c r="A1076" s="3"/>
      <c r="I1076" s="3"/>
    </row>
    <row r="1077" spans="1:9" x14ac:dyDescent="0.25">
      <c r="A1077" s="3"/>
      <c r="I1077" s="3"/>
    </row>
    <row r="1078" spans="1:9" x14ac:dyDescent="0.25">
      <c r="A1078" s="3"/>
      <c r="I1078" s="3"/>
    </row>
    <row r="1079" spans="1:9" x14ac:dyDescent="0.25">
      <c r="A1079" s="3"/>
      <c r="I1079" s="3"/>
    </row>
    <row r="1080" spans="1:9" x14ac:dyDescent="0.25">
      <c r="A1080" s="3"/>
      <c r="I1080" s="3"/>
    </row>
    <row r="1081" spans="1:9" x14ac:dyDescent="0.25">
      <c r="A1081" s="3"/>
      <c r="I1081" s="3"/>
    </row>
    <row r="1082" spans="1:9" x14ac:dyDescent="0.25">
      <c r="A1082" s="3"/>
      <c r="I1082" s="3"/>
    </row>
    <row r="1083" spans="1:9" x14ac:dyDescent="0.25">
      <c r="A1083" s="3"/>
      <c r="I1083" s="3"/>
    </row>
    <row r="1084" spans="1:9" x14ac:dyDescent="0.25">
      <c r="A1084" s="3"/>
      <c r="I1084" s="3"/>
    </row>
    <row r="1085" spans="1:9" x14ac:dyDescent="0.25">
      <c r="A1085" s="3"/>
      <c r="I1085" s="3"/>
    </row>
    <row r="1086" spans="1:9" x14ac:dyDescent="0.25">
      <c r="A1086" s="3"/>
      <c r="I1086" s="3"/>
    </row>
    <row r="1087" spans="1:9" x14ac:dyDescent="0.25">
      <c r="A1087" s="3"/>
      <c r="I1087" s="3"/>
    </row>
    <row r="1088" spans="1:9" x14ac:dyDescent="0.25">
      <c r="A1088" s="3"/>
      <c r="I1088" s="3"/>
    </row>
    <row r="1089" spans="1:9" x14ac:dyDescent="0.25">
      <c r="A1089" s="3"/>
      <c r="I1089" s="3"/>
    </row>
    <row r="1090" spans="1:9" x14ac:dyDescent="0.25">
      <c r="A1090" s="3"/>
      <c r="I1090" s="3"/>
    </row>
    <row r="1091" spans="1:9" x14ac:dyDescent="0.25">
      <c r="A1091" s="3"/>
      <c r="I1091" s="3"/>
    </row>
    <row r="1092" spans="1:9" x14ac:dyDescent="0.25">
      <c r="A1092" s="3"/>
      <c r="I1092" s="3"/>
    </row>
    <row r="1093" spans="1:9" x14ac:dyDescent="0.25">
      <c r="A1093" s="3"/>
      <c r="I1093" s="3"/>
    </row>
    <row r="1094" spans="1:9" x14ac:dyDescent="0.25">
      <c r="A1094" s="3"/>
      <c r="I1094" s="3"/>
    </row>
    <row r="1095" spans="1:9" x14ac:dyDescent="0.25">
      <c r="A1095" s="3"/>
      <c r="I1095" s="3"/>
    </row>
    <row r="1096" spans="1:9" x14ac:dyDescent="0.25">
      <c r="A1096" s="3"/>
      <c r="I1096" s="3"/>
    </row>
    <row r="1097" spans="1:9" x14ac:dyDescent="0.25">
      <c r="A1097" s="3"/>
      <c r="I1097" s="3"/>
    </row>
    <row r="1098" spans="1:9" x14ac:dyDescent="0.25">
      <c r="A1098" s="3"/>
      <c r="I1098" s="3"/>
    </row>
    <row r="1099" spans="1:9" x14ac:dyDescent="0.25">
      <c r="A1099" s="3"/>
      <c r="I1099" s="3"/>
    </row>
    <row r="1100" spans="1:9" x14ac:dyDescent="0.25">
      <c r="A1100" s="3"/>
      <c r="I1100" s="3"/>
    </row>
    <row r="1101" spans="1:9" x14ac:dyDescent="0.25">
      <c r="A1101" s="3"/>
      <c r="I1101" s="3"/>
    </row>
    <row r="1102" spans="1:9" x14ac:dyDescent="0.25">
      <c r="A1102" s="3"/>
      <c r="I1102" s="3"/>
    </row>
    <row r="1103" spans="1:9" x14ac:dyDescent="0.25">
      <c r="A1103" s="3"/>
      <c r="I1103" s="3"/>
    </row>
    <row r="1104" spans="1:9" x14ac:dyDescent="0.25">
      <c r="A1104" s="3"/>
      <c r="I1104" s="3"/>
    </row>
    <row r="1105" spans="1:9" x14ac:dyDescent="0.25">
      <c r="A1105" s="3"/>
      <c r="I1105" s="3"/>
    </row>
    <row r="1106" spans="1:9" x14ac:dyDescent="0.25">
      <c r="A1106" s="3"/>
      <c r="I1106" s="3"/>
    </row>
    <row r="1107" spans="1:9" x14ac:dyDescent="0.25">
      <c r="A1107" s="3"/>
      <c r="I1107" s="3"/>
    </row>
    <row r="1108" spans="1:9" x14ac:dyDescent="0.25">
      <c r="A1108" s="3"/>
      <c r="I1108" s="3"/>
    </row>
    <row r="1109" spans="1:9" x14ac:dyDescent="0.25">
      <c r="A1109" s="3"/>
      <c r="I1109" s="3"/>
    </row>
    <row r="1110" spans="1:9" x14ac:dyDescent="0.25">
      <c r="A1110" s="3"/>
      <c r="I1110" s="3"/>
    </row>
    <row r="1111" spans="1:9" x14ac:dyDescent="0.25">
      <c r="A1111" s="3"/>
      <c r="I1111" s="3"/>
    </row>
    <row r="1112" spans="1:9" x14ac:dyDescent="0.25">
      <c r="A1112" s="3"/>
      <c r="I1112" s="3"/>
    </row>
    <row r="1113" spans="1:9" x14ac:dyDescent="0.25">
      <c r="A1113" s="3"/>
      <c r="I1113" s="3"/>
    </row>
    <row r="1114" spans="1:9" x14ac:dyDescent="0.25">
      <c r="A1114" s="3"/>
      <c r="I1114" s="3"/>
    </row>
    <row r="1115" spans="1:9" x14ac:dyDescent="0.25">
      <c r="A1115" s="3"/>
      <c r="I1115" s="3"/>
    </row>
    <row r="1116" spans="1:9" x14ac:dyDescent="0.25">
      <c r="A1116" s="3"/>
      <c r="I1116" s="3"/>
    </row>
    <row r="1117" spans="1:9" x14ac:dyDescent="0.25">
      <c r="A1117" s="3"/>
      <c r="I1117" s="3"/>
    </row>
    <row r="1118" spans="1:9" x14ac:dyDescent="0.25">
      <c r="A1118" s="3"/>
      <c r="I1118" s="3"/>
    </row>
    <row r="1119" spans="1:9" x14ac:dyDescent="0.25">
      <c r="A1119" s="3"/>
      <c r="I1119" s="3"/>
    </row>
    <row r="1120" spans="1:9" x14ac:dyDescent="0.25">
      <c r="A1120" s="3"/>
      <c r="I1120" s="3"/>
    </row>
    <row r="1121" spans="1:9" x14ac:dyDescent="0.25">
      <c r="A1121" s="3"/>
      <c r="I1121" s="3"/>
    </row>
    <row r="1122" spans="1:9" x14ac:dyDescent="0.25">
      <c r="A1122" s="3"/>
      <c r="I1122" s="3"/>
    </row>
    <row r="1123" spans="1:9" x14ac:dyDescent="0.25">
      <c r="A1123" s="3"/>
      <c r="I1123" s="3"/>
    </row>
    <row r="1124" spans="1:9" x14ac:dyDescent="0.25">
      <c r="A1124" s="3"/>
      <c r="I1124" s="3"/>
    </row>
    <row r="1125" spans="1:9" x14ac:dyDescent="0.25">
      <c r="A1125" s="3"/>
      <c r="I1125" s="3"/>
    </row>
    <row r="1126" spans="1:9" x14ac:dyDescent="0.25">
      <c r="A1126" s="3"/>
      <c r="I1126" s="3"/>
    </row>
    <row r="1127" spans="1:9" x14ac:dyDescent="0.25">
      <c r="A1127" s="3"/>
      <c r="I1127" s="3"/>
    </row>
    <row r="1128" spans="1:9" x14ac:dyDescent="0.25">
      <c r="A1128" s="3"/>
      <c r="I1128" s="3"/>
    </row>
    <row r="1129" spans="1:9" x14ac:dyDescent="0.25">
      <c r="A1129" s="3"/>
      <c r="I1129" s="3"/>
    </row>
    <row r="1130" spans="1:9" x14ac:dyDescent="0.25">
      <c r="A1130" s="3"/>
      <c r="I1130" s="3"/>
    </row>
    <row r="1131" spans="1:9" x14ac:dyDescent="0.25">
      <c r="A1131" s="3"/>
      <c r="I1131" s="3"/>
    </row>
    <row r="1132" spans="1:9" x14ac:dyDescent="0.25">
      <c r="A1132" s="3"/>
      <c r="I1132" s="3"/>
    </row>
    <row r="1133" spans="1:9" x14ac:dyDescent="0.25">
      <c r="A1133" s="3"/>
      <c r="I1133" s="3"/>
    </row>
    <row r="1134" spans="1:9" x14ac:dyDescent="0.25">
      <c r="A1134" s="3"/>
      <c r="I1134" s="3"/>
    </row>
    <row r="1135" spans="1:9" x14ac:dyDescent="0.25">
      <c r="A1135" s="3"/>
      <c r="I1135" s="3"/>
    </row>
    <row r="1136" spans="1:9" x14ac:dyDescent="0.25">
      <c r="A1136" s="3"/>
      <c r="I1136" s="3"/>
    </row>
    <row r="1137" spans="1:9" x14ac:dyDescent="0.25">
      <c r="A1137" s="3"/>
      <c r="I1137" s="3"/>
    </row>
    <row r="1138" spans="1:9" x14ac:dyDescent="0.25">
      <c r="A1138" s="3"/>
      <c r="I1138" s="3"/>
    </row>
    <row r="1139" spans="1:9" x14ac:dyDescent="0.25">
      <c r="A1139" s="3"/>
      <c r="I1139" s="3"/>
    </row>
    <row r="1140" spans="1:9" x14ac:dyDescent="0.25">
      <c r="A1140" s="3"/>
      <c r="I1140" s="3"/>
    </row>
    <row r="1141" spans="1:9" x14ac:dyDescent="0.25">
      <c r="A1141" s="3"/>
      <c r="I1141" s="3"/>
    </row>
    <row r="1142" spans="1:9" x14ac:dyDescent="0.25">
      <c r="A1142" s="3"/>
      <c r="I1142" s="3"/>
    </row>
    <row r="1143" spans="1:9" x14ac:dyDescent="0.25">
      <c r="A1143" s="3"/>
      <c r="I1143" s="3"/>
    </row>
    <row r="1144" spans="1:9" x14ac:dyDescent="0.25">
      <c r="A1144" s="3"/>
      <c r="I1144" s="3"/>
    </row>
    <row r="1145" spans="1:9" x14ac:dyDescent="0.25">
      <c r="A1145" s="3"/>
      <c r="I1145" s="3"/>
    </row>
    <row r="1146" spans="1:9" x14ac:dyDescent="0.25">
      <c r="A1146" s="3"/>
      <c r="I1146" s="3"/>
    </row>
    <row r="1147" spans="1:9" x14ac:dyDescent="0.25">
      <c r="A1147" s="3"/>
      <c r="I1147" s="3"/>
    </row>
    <row r="1148" spans="1:9" x14ac:dyDescent="0.25">
      <c r="A1148" s="3"/>
      <c r="I1148" s="3"/>
    </row>
    <row r="1149" spans="1:9" x14ac:dyDescent="0.25">
      <c r="A1149" s="3"/>
      <c r="I1149" s="3"/>
    </row>
    <row r="1150" spans="1:9" x14ac:dyDescent="0.25">
      <c r="A1150" s="3"/>
      <c r="I1150" s="3"/>
    </row>
    <row r="1151" spans="1:9" x14ac:dyDescent="0.25">
      <c r="A1151" s="3"/>
      <c r="I1151" s="3"/>
    </row>
    <row r="1152" spans="1:9" x14ac:dyDescent="0.25">
      <c r="A1152" s="3"/>
      <c r="I1152" s="3"/>
    </row>
    <row r="1153" spans="1:9" x14ac:dyDescent="0.25">
      <c r="A1153" s="3"/>
      <c r="I1153" s="3"/>
    </row>
    <row r="1154" spans="1:9" x14ac:dyDescent="0.25">
      <c r="A1154" s="3"/>
      <c r="I1154" s="3"/>
    </row>
    <row r="1155" spans="1:9" x14ac:dyDescent="0.25">
      <c r="A1155" s="3"/>
      <c r="I1155" s="3"/>
    </row>
    <row r="1156" spans="1:9" x14ac:dyDescent="0.25">
      <c r="A1156" s="3"/>
      <c r="I1156" s="3"/>
    </row>
    <row r="1157" spans="1:9" x14ac:dyDescent="0.25">
      <c r="A1157" s="3"/>
      <c r="I1157" s="3"/>
    </row>
    <row r="1158" spans="1:9" x14ac:dyDescent="0.25">
      <c r="A1158" s="3"/>
      <c r="I1158" s="3"/>
    </row>
    <row r="1159" spans="1:9" x14ac:dyDescent="0.25">
      <c r="A1159" s="3"/>
      <c r="I1159" s="3"/>
    </row>
    <row r="1160" spans="1:9" x14ac:dyDescent="0.25">
      <c r="A1160" s="3"/>
      <c r="I1160" s="3"/>
    </row>
    <row r="1161" spans="1:9" x14ac:dyDescent="0.25">
      <c r="A1161" s="3"/>
      <c r="I1161" s="3"/>
    </row>
    <row r="1162" spans="1:9" x14ac:dyDescent="0.25">
      <c r="A1162" s="3"/>
      <c r="I1162" s="3"/>
    </row>
    <row r="1163" spans="1:9" x14ac:dyDescent="0.25">
      <c r="A1163" s="3"/>
      <c r="I1163" s="3"/>
    </row>
    <row r="1164" spans="1:9" x14ac:dyDescent="0.25">
      <c r="A1164" s="3"/>
      <c r="I1164" s="3"/>
    </row>
    <row r="1165" spans="1:9" x14ac:dyDescent="0.25">
      <c r="A1165" s="3"/>
      <c r="I1165" s="3"/>
    </row>
    <row r="1166" spans="1:9" x14ac:dyDescent="0.25">
      <c r="A1166" s="3"/>
      <c r="I1166" s="3"/>
    </row>
    <row r="1167" spans="1:9" x14ac:dyDescent="0.25">
      <c r="A1167" s="3"/>
      <c r="I1167" s="3"/>
    </row>
    <row r="1168" spans="1:9" x14ac:dyDescent="0.25">
      <c r="A1168" s="3"/>
      <c r="I1168" s="3"/>
    </row>
    <row r="1169" spans="1:9" x14ac:dyDescent="0.25">
      <c r="A1169" s="3"/>
      <c r="I1169" s="3"/>
    </row>
    <row r="1170" spans="1:9" x14ac:dyDescent="0.25">
      <c r="A1170" s="3"/>
      <c r="I1170" s="3"/>
    </row>
    <row r="1171" spans="1:9" x14ac:dyDescent="0.25">
      <c r="A1171" s="3"/>
      <c r="I1171" s="3"/>
    </row>
    <row r="1172" spans="1:9" x14ac:dyDescent="0.25">
      <c r="A1172" s="3"/>
      <c r="I1172" s="3"/>
    </row>
    <row r="1173" spans="1:9" x14ac:dyDescent="0.25">
      <c r="A1173" s="3"/>
      <c r="I1173" s="3"/>
    </row>
    <row r="1174" spans="1:9" x14ac:dyDescent="0.25">
      <c r="A1174" s="3"/>
      <c r="I1174" s="3"/>
    </row>
    <row r="1175" spans="1:9" x14ac:dyDescent="0.25">
      <c r="A1175" s="3"/>
      <c r="I1175" s="3"/>
    </row>
    <row r="1176" spans="1:9" x14ac:dyDescent="0.25">
      <c r="A1176" s="3"/>
      <c r="I1176" s="3"/>
    </row>
    <row r="1177" spans="1:9" x14ac:dyDescent="0.25">
      <c r="A1177" s="3"/>
      <c r="I1177" s="3"/>
    </row>
    <row r="1178" spans="1:9" x14ac:dyDescent="0.25">
      <c r="A1178" s="3"/>
      <c r="I1178" s="3"/>
    </row>
    <row r="1179" spans="1:9" x14ac:dyDescent="0.25">
      <c r="A1179" s="3"/>
      <c r="I1179" s="3"/>
    </row>
    <row r="1180" spans="1:9" x14ac:dyDescent="0.25">
      <c r="A1180" s="3"/>
      <c r="I1180" s="3"/>
    </row>
    <row r="1181" spans="1:9" x14ac:dyDescent="0.25">
      <c r="A1181" s="3"/>
      <c r="I1181" s="3"/>
    </row>
    <row r="1182" spans="1:9" x14ac:dyDescent="0.25">
      <c r="A1182" s="3"/>
      <c r="I1182" s="3"/>
    </row>
    <row r="1183" spans="1:9" x14ac:dyDescent="0.25">
      <c r="A1183" s="3"/>
      <c r="I1183" s="3"/>
    </row>
    <row r="1184" spans="1:9" x14ac:dyDescent="0.25">
      <c r="A1184" s="3"/>
      <c r="I1184" s="3"/>
    </row>
    <row r="1185" spans="1:9" x14ac:dyDescent="0.25">
      <c r="A1185" s="3"/>
      <c r="I1185" s="3"/>
    </row>
    <row r="1186" spans="1:9" x14ac:dyDescent="0.25">
      <c r="A1186" s="3"/>
      <c r="I1186" s="3"/>
    </row>
    <row r="1187" spans="1:9" x14ac:dyDescent="0.25">
      <c r="A1187" s="3"/>
      <c r="I1187" s="3"/>
    </row>
    <row r="1188" spans="1:9" x14ac:dyDescent="0.25">
      <c r="A1188" s="3"/>
      <c r="I1188" s="3"/>
    </row>
    <row r="1189" spans="1:9" x14ac:dyDescent="0.25">
      <c r="A1189" s="3"/>
      <c r="I1189" s="3"/>
    </row>
    <row r="1190" spans="1:9" x14ac:dyDescent="0.25">
      <c r="A1190" s="3"/>
      <c r="I1190" s="3"/>
    </row>
    <row r="1191" spans="1:9" x14ac:dyDescent="0.25">
      <c r="A1191" s="3"/>
      <c r="I1191" s="3"/>
    </row>
    <row r="1192" spans="1:9" x14ac:dyDescent="0.25">
      <c r="A1192" s="3"/>
      <c r="I1192" s="3"/>
    </row>
    <row r="1193" spans="1:9" x14ac:dyDescent="0.25">
      <c r="A1193" s="3"/>
      <c r="I1193" s="3"/>
    </row>
    <row r="1194" spans="1:9" x14ac:dyDescent="0.25">
      <c r="A1194" s="3"/>
      <c r="I1194" s="3"/>
    </row>
    <row r="1195" spans="1:9" x14ac:dyDescent="0.25">
      <c r="A1195" s="3"/>
      <c r="I1195" s="3"/>
    </row>
    <row r="1196" spans="1:9" x14ac:dyDescent="0.25">
      <c r="A1196" s="3"/>
      <c r="I1196" s="3"/>
    </row>
    <row r="1197" spans="1:9" x14ac:dyDescent="0.25">
      <c r="A1197" s="3"/>
      <c r="I1197" s="3"/>
    </row>
    <row r="1198" spans="1:9" x14ac:dyDescent="0.25">
      <c r="A1198" s="3"/>
      <c r="I1198" s="3"/>
    </row>
    <row r="1199" spans="1:9" x14ac:dyDescent="0.25">
      <c r="A1199" s="3"/>
      <c r="I1199" s="3"/>
    </row>
    <row r="1200" spans="1:9" x14ac:dyDescent="0.25">
      <c r="A1200" s="3"/>
      <c r="I1200" s="3"/>
    </row>
    <row r="1201" spans="1:9" x14ac:dyDescent="0.25">
      <c r="A1201" s="3"/>
      <c r="I1201" s="3"/>
    </row>
    <row r="1202" spans="1:9" x14ac:dyDescent="0.25">
      <c r="A1202" s="3"/>
      <c r="I1202" s="3"/>
    </row>
    <row r="1203" spans="1:9" x14ac:dyDescent="0.25">
      <c r="A1203" s="3"/>
      <c r="I1203" s="3"/>
    </row>
    <row r="1204" spans="1:9" x14ac:dyDescent="0.25">
      <c r="A1204" s="3"/>
      <c r="I1204" s="3"/>
    </row>
    <row r="1205" spans="1:9" x14ac:dyDescent="0.25">
      <c r="A1205" s="3"/>
      <c r="I1205" s="3"/>
    </row>
    <row r="1206" spans="1:9" x14ac:dyDescent="0.25">
      <c r="A1206" s="3"/>
      <c r="I1206" s="3"/>
    </row>
    <row r="1207" spans="1:9" x14ac:dyDescent="0.25">
      <c r="A1207" s="3"/>
      <c r="I1207" s="3"/>
    </row>
    <row r="1208" spans="1:9" x14ac:dyDescent="0.25">
      <c r="A1208" s="3"/>
      <c r="I1208" s="3"/>
    </row>
    <row r="1209" spans="1:9" x14ac:dyDescent="0.25">
      <c r="A1209" s="3"/>
      <c r="I1209" s="3"/>
    </row>
    <row r="1210" spans="1:9" x14ac:dyDescent="0.25">
      <c r="A1210" s="3"/>
      <c r="I1210" s="3"/>
    </row>
    <row r="1211" spans="1:9" x14ac:dyDescent="0.25">
      <c r="A1211" s="3"/>
      <c r="I1211" s="3"/>
    </row>
    <row r="1212" spans="1:9" x14ac:dyDescent="0.25">
      <c r="A1212" s="3"/>
      <c r="I1212" s="3"/>
    </row>
    <row r="1213" spans="1:9" x14ac:dyDescent="0.25">
      <c r="A1213" s="3"/>
      <c r="I1213" s="3"/>
    </row>
    <row r="1214" spans="1:9" x14ac:dyDescent="0.25">
      <c r="A1214" s="3"/>
      <c r="I1214" s="3"/>
    </row>
    <row r="1215" spans="1:9" x14ac:dyDescent="0.25">
      <c r="A1215" s="3"/>
      <c r="I1215" s="3"/>
    </row>
    <row r="1216" spans="1:9" x14ac:dyDescent="0.25">
      <c r="A1216" s="3"/>
      <c r="I1216" s="3"/>
    </row>
    <row r="1217" spans="1:9" x14ac:dyDescent="0.25">
      <c r="A1217" s="3"/>
      <c r="I1217" s="3"/>
    </row>
    <row r="1218" spans="1:9" x14ac:dyDescent="0.25">
      <c r="A1218" s="3"/>
      <c r="I1218" s="3"/>
    </row>
    <row r="1219" spans="1:9" x14ac:dyDescent="0.25">
      <c r="A1219" s="3"/>
      <c r="I1219" s="3"/>
    </row>
    <row r="1220" spans="1:9" x14ac:dyDescent="0.25">
      <c r="A1220" s="3"/>
      <c r="I1220" s="3"/>
    </row>
    <row r="1221" spans="1:9" x14ac:dyDescent="0.25">
      <c r="A1221" s="3"/>
      <c r="I1221" s="3"/>
    </row>
    <row r="1222" spans="1:9" x14ac:dyDescent="0.25">
      <c r="A1222" s="3"/>
      <c r="I1222" s="3"/>
    </row>
    <row r="1223" spans="1:9" x14ac:dyDescent="0.25">
      <c r="A1223" s="3"/>
      <c r="I1223" s="3"/>
    </row>
    <row r="1224" spans="1:9" x14ac:dyDescent="0.25">
      <c r="A1224" s="3"/>
      <c r="I1224" s="3"/>
    </row>
    <row r="1225" spans="1:9" x14ac:dyDescent="0.25">
      <c r="A1225" s="3"/>
      <c r="I1225" s="3"/>
    </row>
    <row r="1226" spans="1:9" x14ac:dyDescent="0.25">
      <c r="A1226" s="3"/>
      <c r="I1226" s="3"/>
    </row>
    <row r="1227" spans="1:9" x14ac:dyDescent="0.25">
      <c r="A1227" s="3"/>
      <c r="I1227" s="3"/>
    </row>
    <row r="1228" spans="1:9" x14ac:dyDescent="0.25">
      <c r="A1228" s="3"/>
      <c r="I1228" s="3"/>
    </row>
    <row r="1229" spans="1:9" x14ac:dyDescent="0.25">
      <c r="A1229" s="3"/>
      <c r="I1229" s="3"/>
    </row>
    <row r="1230" spans="1:9" x14ac:dyDescent="0.25">
      <c r="A1230" s="3"/>
      <c r="I1230" s="3"/>
    </row>
    <row r="1231" spans="1:9" x14ac:dyDescent="0.25">
      <c r="A1231" s="3"/>
      <c r="I1231" s="3"/>
    </row>
    <row r="1232" spans="1:9" x14ac:dyDescent="0.25">
      <c r="A1232" s="3"/>
      <c r="I1232" s="3"/>
    </row>
    <row r="1233" spans="1:9" x14ac:dyDescent="0.25">
      <c r="A1233" s="3"/>
      <c r="I1233" s="3"/>
    </row>
    <row r="1234" spans="1:9" x14ac:dyDescent="0.25">
      <c r="A1234" s="3"/>
      <c r="I1234" s="3"/>
    </row>
    <row r="1235" spans="1:9" x14ac:dyDescent="0.25">
      <c r="A1235" s="3"/>
      <c r="I1235" s="3"/>
    </row>
    <row r="1236" spans="1:9" x14ac:dyDescent="0.25">
      <c r="A1236" s="3"/>
      <c r="I1236" s="3"/>
    </row>
    <row r="1237" spans="1:9" x14ac:dyDescent="0.25">
      <c r="A1237" s="3"/>
      <c r="I1237" s="3"/>
    </row>
    <row r="1238" spans="1:9" x14ac:dyDescent="0.25">
      <c r="A1238" s="3"/>
      <c r="I1238" s="3"/>
    </row>
    <row r="1239" spans="1:9" x14ac:dyDescent="0.25">
      <c r="A1239" s="3"/>
      <c r="I1239" s="3"/>
    </row>
    <row r="1240" spans="1:9" x14ac:dyDescent="0.25">
      <c r="A1240" s="3"/>
      <c r="I1240" s="3"/>
    </row>
    <row r="1241" spans="1:9" x14ac:dyDescent="0.25">
      <c r="A1241" s="3"/>
      <c r="I1241" s="3"/>
    </row>
    <row r="1242" spans="1:9" x14ac:dyDescent="0.25">
      <c r="A1242" s="3"/>
      <c r="I1242" s="3"/>
    </row>
    <row r="1243" spans="1:9" x14ac:dyDescent="0.25">
      <c r="A1243" s="3"/>
      <c r="I1243" s="3"/>
    </row>
    <row r="1244" spans="1:9" x14ac:dyDescent="0.25">
      <c r="A1244" s="3"/>
      <c r="I1244" s="3"/>
    </row>
    <row r="1245" spans="1:9" x14ac:dyDescent="0.25">
      <c r="A1245" s="3"/>
      <c r="I1245" s="3"/>
    </row>
    <row r="1246" spans="1:9" x14ac:dyDescent="0.25">
      <c r="A1246" s="3"/>
      <c r="I1246" s="3"/>
    </row>
    <row r="1247" spans="1:9" x14ac:dyDescent="0.25">
      <c r="A1247" s="3"/>
      <c r="I1247" s="3"/>
    </row>
    <row r="1248" spans="1:9" x14ac:dyDescent="0.25">
      <c r="A1248" s="3"/>
      <c r="I1248" s="3"/>
    </row>
    <row r="1249" spans="1:9" x14ac:dyDescent="0.25">
      <c r="A1249" s="3"/>
      <c r="I1249" s="3"/>
    </row>
    <row r="1250" spans="1:9" x14ac:dyDescent="0.25">
      <c r="A1250" s="3"/>
      <c r="I1250" s="3"/>
    </row>
    <row r="1251" spans="1:9" x14ac:dyDescent="0.25">
      <c r="A1251" s="3"/>
      <c r="I1251" s="3"/>
    </row>
    <row r="1252" spans="1:9" x14ac:dyDescent="0.25">
      <c r="A1252" s="3"/>
      <c r="I1252" s="3"/>
    </row>
    <row r="1253" spans="1:9" x14ac:dyDescent="0.25">
      <c r="A1253" s="3"/>
      <c r="I1253" s="3"/>
    </row>
    <row r="1254" spans="1:9" x14ac:dyDescent="0.25">
      <c r="A1254" s="3"/>
      <c r="I1254" s="3"/>
    </row>
    <row r="1255" spans="1:9" x14ac:dyDescent="0.25">
      <c r="A1255" s="3"/>
      <c r="I1255" s="3"/>
    </row>
    <row r="1256" spans="1:9" x14ac:dyDescent="0.25">
      <c r="A1256" s="3"/>
      <c r="I1256" s="3"/>
    </row>
    <row r="1257" spans="1:9" x14ac:dyDescent="0.25">
      <c r="A1257" s="3"/>
      <c r="I1257" s="3"/>
    </row>
    <row r="1258" spans="1:9" x14ac:dyDescent="0.25">
      <c r="A1258" s="3"/>
      <c r="I1258" s="3"/>
    </row>
    <row r="1259" spans="1:9" x14ac:dyDescent="0.25">
      <c r="A1259" s="3"/>
      <c r="I1259" s="3"/>
    </row>
    <row r="1260" spans="1:9" x14ac:dyDescent="0.25">
      <c r="A1260" s="3"/>
      <c r="I1260" s="3"/>
    </row>
    <row r="1261" spans="1:9" x14ac:dyDescent="0.25">
      <c r="A1261" s="3"/>
      <c r="I1261" s="3"/>
    </row>
    <row r="1262" spans="1:9" x14ac:dyDescent="0.25">
      <c r="A1262" s="3"/>
      <c r="I1262" s="3"/>
    </row>
    <row r="1263" spans="1:9" x14ac:dyDescent="0.25">
      <c r="A1263" s="3"/>
      <c r="I1263" s="3"/>
    </row>
    <row r="1264" spans="1:9" x14ac:dyDescent="0.25">
      <c r="A1264" s="3"/>
      <c r="I1264" s="3"/>
    </row>
    <row r="1265" spans="1:9" x14ac:dyDescent="0.25">
      <c r="A1265" s="3"/>
      <c r="I1265" s="3"/>
    </row>
    <row r="1266" spans="1:9" x14ac:dyDescent="0.25">
      <c r="A1266" s="3"/>
      <c r="I1266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E00BA-9422-4B86-A83A-BAD4A626D52B}">
  <sheetPr codeName="Planilha3"/>
  <dimension ref="C4:K15"/>
  <sheetViews>
    <sheetView showGridLines="0" showRowColHeaders="0" tabSelected="1" workbookViewId="0">
      <pane ySplit="15" topLeftCell="A16" activePane="bottomLeft" state="frozen"/>
      <selection pane="bottomLeft" activeCell="O8" sqref="O8"/>
    </sheetView>
  </sheetViews>
  <sheetFormatPr defaultRowHeight="15" x14ac:dyDescent="0.25"/>
  <cols>
    <col min="1" max="10" width="9.140625" style="4"/>
    <col min="11" max="11" width="6" style="4" customWidth="1"/>
    <col min="12" max="16384" width="9.140625" style="4"/>
  </cols>
  <sheetData>
    <row r="4" spans="3:11" ht="15.75" thickBot="1" x14ac:dyDescent="0.3"/>
    <row r="5" spans="3:11" ht="15.75" thickTop="1" x14ac:dyDescent="0.25">
      <c r="C5" s="5"/>
      <c r="D5" s="6"/>
      <c r="E5" s="6"/>
      <c r="F5" s="6"/>
      <c r="G5" s="6"/>
      <c r="H5" s="6"/>
      <c r="I5" s="6"/>
      <c r="J5" s="6"/>
      <c r="K5" s="7"/>
    </row>
    <row r="6" spans="3:11" x14ac:dyDescent="0.25">
      <c r="C6" s="8"/>
      <c r="D6" s="9"/>
      <c r="E6" s="9"/>
      <c r="F6" s="9"/>
      <c r="G6" s="9"/>
      <c r="H6" s="9"/>
      <c r="I6" s="9"/>
      <c r="J6" s="9"/>
      <c r="K6" s="10"/>
    </row>
    <row r="7" spans="3:11" x14ac:dyDescent="0.25">
      <c r="C7" s="8"/>
      <c r="D7" s="9"/>
      <c r="E7" s="9"/>
      <c r="F7" s="9"/>
      <c r="G7" s="9"/>
      <c r="H7" s="9"/>
      <c r="I7" s="9"/>
      <c r="J7" s="9"/>
      <c r="K7" s="10"/>
    </row>
    <row r="8" spans="3:11" x14ac:dyDescent="0.25">
      <c r="C8" s="8"/>
      <c r="D8" s="9"/>
      <c r="E8" s="9"/>
      <c r="F8" s="9"/>
      <c r="G8" s="9"/>
      <c r="H8" s="9"/>
      <c r="I8" s="9"/>
      <c r="J8" s="9"/>
      <c r="K8" s="10"/>
    </row>
    <row r="9" spans="3:11" x14ac:dyDescent="0.25">
      <c r="C9" s="8"/>
      <c r="D9" s="9"/>
      <c r="E9" s="9"/>
      <c r="F9" s="9"/>
      <c r="G9" s="9"/>
      <c r="H9" s="9"/>
      <c r="I9" s="9"/>
      <c r="J9" s="9"/>
      <c r="K9" s="10"/>
    </row>
    <row r="10" spans="3:11" x14ac:dyDescent="0.25">
      <c r="C10" s="8"/>
      <c r="D10" s="9"/>
      <c r="E10" s="9"/>
      <c r="F10" s="9"/>
      <c r="G10" s="9"/>
      <c r="H10" s="9"/>
      <c r="I10" s="9"/>
      <c r="J10" s="9"/>
      <c r="K10" s="10"/>
    </row>
    <row r="11" spans="3:11" x14ac:dyDescent="0.25">
      <c r="C11" s="8"/>
      <c r="D11" s="9"/>
      <c r="E11" s="9"/>
      <c r="F11" s="9"/>
      <c r="G11" s="9"/>
      <c r="H11" s="9"/>
      <c r="I11" s="9"/>
      <c r="J11" s="9"/>
      <c r="K11" s="10"/>
    </row>
    <row r="12" spans="3:11" x14ac:dyDescent="0.25">
      <c r="C12" s="8"/>
      <c r="D12" s="9"/>
      <c r="E12" s="9"/>
      <c r="F12" s="9"/>
      <c r="G12" s="9"/>
      <c r="H12" s="9"/>
      <c r="I12" s="9"/>
      <c r="J12" s="9"/>
      <c r="K12" s="10"/>
    </row>
    <row r="13" spans="3:11" x14ac:dyDescent="0.25">
      <c r="C13" s="8"/>
      <c r="D13" s="9"/>
      <c r="E13" s="9"/>
      <c r="F13" s="9"/>
      <c r="G13" s="9"/>
      <c r="H13" s="9"/>
      <c r="I13" s="9"/>
      <c r="J13" s="9"/>
      <c r="K13" s="10"/>
    </row>
    <row r="14" spans="3:11" ht="15.75" thickBot="1" x14ac:dyDescent="0.3">
      <c r="C14" s="11"/>
      <c r="D14" s="12"/>
      <c r="E14" s="12"/>
      <c r="F14" s="12"/>
      <c r="G14" s="12"/>
      <c r="H14" s="12"/>
      <c r="I14" s="12"/>
      <c r="J14" s="12"/>
      <c r="K14" s="13"/>
    </row>
    <row r="15" spans="3:11" ht="15.75" thickTop="1" x14ac:dyDescent="0.25"/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5A8BB0-C89D-45FD-9D76-D35E63700D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24</vt:i4>
      </vt:variant>
    </vt:vector>
  </HeadingPairs>
  <TitlesOfParts>
    <vt:vector size="24" baseType="lpstr">
      <vt:lpstr>Brasil - Top Songs Daily</vt:lpstr>
      <vt:lpstr>Brasil - Top Artists Daily</vt:lpstr>
      <vt:lpstr>Brasil - Top Viral Daily</vt:lpstr>
      <vt:lpstr>Global - Top Songs Daily</vt:lpstr>
      <vt:lpstr>Global - Top Artists Daily</vt:lpstr>
      <vt:lpstr>Global - Top Viral Daily</vt:lpstr>
      <vt:lpstr>Global - Top Songs Weekly</vt:lpstr>
      <vt:lpstr>Global - Top Artists Weekly</vt:lpstr>
      <vt:lpstr>Global - Top Album Weekly</vt:lpstr>
      <vt:lpstr>Brasil - Top Songs Weekly</vt:lpstr>
      <vt:lpstr>Brasil - Top Artists Weekly</vt:lpstr>
      <vt:lpstr>Brasil - Top Albums Weekly</vt:lpstr>
      <vt:lpstr>Deezer</vt:lpstr>
      <vt:lpstr>Tabela_Deezer</vt:lpstr>
      <vt:lpstr>Apple</vt:lpstr>
      <vt:lpstr>Tabela_Apple</vt:lpstr>
      <vt:lpstr>Amazon</vt:lpstr>
      <vt:lpstr>Tabela_Amazon</vt:lpstr>
      <vt:lpstr>Youtube - Daily Videos</vt:lpstr>
      <vt:lpstr>Youtube - Daily Shorts</vt:lpstr>
      <vt:lpstr>Youtube - Weekly Artists</vt:lpstr>
      <vt:lpstr>Youtube - Weekly Music</vt:lpstr>
      <vt:lpstr>Tabela</vt:lpstr>
      <vt:lpstr>Painel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 CORDEIRO</dc:creator>
  <cp:lastModifiedBy>NIL CORDEIRO</cp:lastModifiedBy>
  <dcterms:created xsi:type="dcterms:W3CDTF">2025-08-22T18:16:37Z</dcterms:created>
  <dcterms:modified xsi:type="dcterms:W3CDTF">2025-09-09T12:21:17Z</dcterms:modified>
</cp:coreProperties>
</file>